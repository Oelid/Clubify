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thèse" sheetId="1" state="visible" r:id="rId1"/>
    <sheet xmlns:r="http://schemas.openxmlformats.org/officeDocument/2006/relationships" name="Features" sheetId="2" state="visible" r:id="rId2"/>
    <sheet xmlns:r="http://schemas.openxmlformats.org/officeDocument/2006/relationships" name="R1" sheetId="3" state="visible" r:id="rId3"/>
    <sheet xmlns:r="http://schemas.openxmlformats.org/officeDocument/2006/relationships" name="R2" sheetId="4" state="visible" r:id="rId4"/>
    <sheet xmlns:r="http://schemas.openxmlformats.org/officeDocument/2006/relationships" name="R3" sheetId="5" state="visible" r:id="rId5"/>
    <sheet xmlns:r="http://schemas.openxmlformats.org/officeDocument/2006/relationships" name="R4" sheetId="6" state="visible" r:id="rId6"/>
    <sheet xmlns:r="http://schemas.openxmlformats.org/officeDocument/2006/relationships" name="R5" sheetId="7" state="visible" r:id="rId7"/>
    <sheet xmlns:r="http://schemas.openxmlformats.org/officeDocument/2006/relationships" name="R6" sheetId="8" state="visible" r:id="rId8"/>
    <sheet xmlns:r="http://schemas.openxmlformats.org/officeDocument/2006/relationships" name="R7" sheetId="9" state="visible" r:id="rId9"/>
    <sheet xmlns:r="http://schemas.openxmlformats.org/officeDocument/2006/relationships" name="R8" sheetId="10" state="visible" r:id="rId10"/>
    <sheet xmlns:r="http://schemas.openxmlformats.org/officeDocument/2006/relationships" name="R9" sheetId="11" state="visible" r:id="rId11"/>
    <sheet xmlns:r="http://schemas.openxmlformats.org/officeDocument/2006/relationships" name="Écartés" sheetId="12" state="visible" r:id="rId12"/>
  </sheets>
  <definedNames>
    <definedName name="_xlnm._FilterDatabase" localSheetId="1" hidden="1">'Features'!$A$1:$Q$74</definedName>
    <definedName name="_xlnm._FilterDatabase" localSheetId="2" hidden="1">'R1'!$A$1:$G$73</definedName>
    <definedName name="_xlnm._FilterDatabase" localSheetId="3" hidden="1">'R2'!$A$1:$G$19</definedName>
    <definedName name="_xlnm._FilterDatabase" localSheetId="4" hidden="1">'R3'!$A$1:$G$24</definedName>
    <definedName name="_xlnm._FilterDatabase" localSheetId="5" hidden="1">'R4'!$A$1:$G$17</definedName>
    <definedName name="_xlnm._FilterDatabase" localSheetId="6" hidden="1">'R5'!$A$1:$G$19</definedName>
    <definedName name="_xlnm._FilterDatabase" localSheetId="7" hidden="1">'R6'!$A$1:$G$14</definedName>
    <definedName name="_xlnm._FilterDatabase" localSheetId="8" hidden="1">'R7'!$A$1:$G$7</definedName>
    <definedName name="_xlnm._FilterDatabase" localSheetId="9" hidden="1">'R8'!$A$1:$G$21</definedName>
    <definedName name="_xlnm._FilterDatabase" localSheetId="10" hidden="1">'R9'!$A$1:$G$5</definedName>
    <definedName name="_xlnm._FilterDatabase" localSheetId="11" hidden="1">'Écartés'!$A$1:$G$14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"/>
    <numFmt numFmtId="166" formatCode="0 %"/>
  </numFmts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6B7780"/>
    </font>
    <font>
      <b val="1"/>
      <color rgb="001F3B4D"/>
      <sz val="16"/>
    </font>
    <font>
      <i val="1"/>
      <color rgb="006B7780"/>
      <sz val="10"/>
    </font>
    <font>
      <b val="1"/>
    </font>
  </fonts>
  <fills count="9">
    <fill>
      <patternFill/>
    </fill>
    <fill>
      <patternFill patternType="gray125"/>
    </fill>
    <fill>
      <patternFill patternType="solid">
        <fgColor rgb="001F3B4D"/>
      </patternFill>
    </fill>
    <fill>
      <patternFill patternType="solid">
        <fgColor rgb="00F2F4F5"/>
      </patternFill>
    </fill>
    <fill>
      <patternFill patternType="solid">
        <fgColor rgb="00E8EAED"/>
      </patternFill>
    </fill>
    <fill>
      <patternFill patternType="solid">
        <fgColor rgb="00FDE9D3"/>
      </patternFill>
    </fill>
    <fill>
      <patternFill patternType="solid">
        <fgColor rgb="00FCE8B2"/>
      </patternFill>
    </fill>
    <fill>
      <patternFill patternType="solid">
        <fgColor rgb="00CFE3EC"/>
      </patternFill>
    </fill>
    <fill>
      <patternFill patternType="solid">
        <fgColor rgb="00C6E7C6"/>
      </patternFill>
    </fill>
  </fills>
  <borders count="2">
    <border>
      <left/>
      <right/>
      <top/>
      <bottom/>
      <diagonal/>
    </border>
    <border>
      <left style="thin">
        <color rgb="00D5D9DC"/>
      </left>
      <right style="thin">
        <color rgb="00D5D9DC"/>
      </right>
      <top style="thin">
        <color rgb="00D5D9DC"/>
      </top>
      <bottom style="thin">
        <color rgb="00D5D9DC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6" fontId="0" fillId="0" borderId="1" pivotButton="0" quotePrefix="0" xfId="0"/>
    <xf numFmtId="0" fontId="5" fillId="3" borderId="1" pivotButton="0" quotePrefix="0" xfId="0"/>
    <xf numFmtId="0" fontId="0" fillId="3" borderId="1" pivotButton="0" quotePrefix="0" xfId="0"/>
    <xf numFmtId="166" fontId="5" fillId="3" borderId="1" pivotButton="0" quotePrefix="0" xfId="0"/>
    <xf numFmtId="0" fontId="2" fillId="0" borderId="0" pivotButton="0" quotePrefix="0" xfId="0"/>
    <xf numFmtId="0" fontId="5" fillId="0" borderId="0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1" fillId="2" borderId="1" applyAlignment="1" pivotButton="0" quotePrefix="0" xfId="0">
      <alignment vertical="center" wrapText="1"/>
    </xf>
    <xf numFmtId="165" fontId="0" fillId="0" borderId="1" pivotButton="0" quotePrefix="0" xfId="0"/>
  </cellXfs>
  <cellStyles count="1">
    <cellStyle name="Normal" xfId="0" builtinId="0" hidden="0"/>
  </cellStyles>
  <dxfs count="5">
    <dxf>
      <fill>
        <patternFill patternType="solid">
          <fgColor rgb="00E8EAED"/>
        </patternFill>
      </fill>
    </dxf>
    <dxf>
      <fill>
        <patternFill patternType="solid">
          <fgColor rgb="00FDE9D3"/>
        </patternFill>
      </fill>
    </dxf>
    <dxf>
      <fill>
        <patternFill patternType="solid">
          <fgColor rgb="00FCE8B2"/>
        </patternFill>
      </fill>
    </dxf>
    <dxf>
      <fill>
        <patternFill patternType="solid">
          <fgColor rgb="00CFE3EC"/>
        </patternFill>
      </fill>
    </dxf>
    <dxf>
      <fill>
        <patternFill patternType="solid">
          <fgColor rgb="00C6E7C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34" customWidth="1" min="3" max="3"/>
    <col width="10" customWidth="1" min="4" max="4"/>
    <col width="10" customWidth="1" min="5" max="5"/>
    <col width="10" customWidth="1" min="6" max="6"/>
    <col width="8" customWidth="1" min="7" max="7"/>
    <col width="10" customWidth="1" min="8" max="8"/>
    <col width="12" customWidth="1" min="9" max="9"/>
    <col width="11" customWidth="1" min="10" max="10"/>
    <col width="13" customWidth="1" min="11" max="11"/>
  </cols>
  <sheetData>
    <row r="1">
      <c r="A1" s="1" t="inlineStr">
        <is>
          <t>Clubify — suivi des features</t>
        </is>
      </c>
    </row>
    <row r="2">
      <c r="A2" s="2" t="inlineStr">
        <is>
          <t>Généré par tools/generer-suivi.py depuis docs/couverture-backlog.md et docs/roadmap.md. Les états et les dates se saisissent dans la feuille Features ; les feuilles par release les reprennent.</t>
        </is>
      </c>
    </row>
    <row r="3"/>
    <row r="5" ht="30" customHeight="1">
      <c r="A5" s="3" t="inlineStr">
        <is>
          <t>Release</t>
        </is>
      </c>
      <c r="B5" s="3" t="inlineStr">
        <is>
          <t>Nom</t>
        </is>
      </c>
      <c r="C5" s="3" t="inlineStr">
        <is>
          <t>Fenêtre de mise en service</t>
        </is>
      </c>
      <c r="D5" s="3" t="inlineStr">
        <is>
          <t>Features</t>
        </is>
      </c>
      <c r="E5" s="3" t="inlineStr">
        <is>
          <t>Waiting</t>
        </is>
      </c>
      <c r="F5" s="3" t="inlineStr">
        <is>
          <t>Cadrage</t>
        </is>
      </c>
      <c r="G5" s="3" t="inlineStr">
        <is>
          <t>Dev</t>
        </is>
      </c>
      <c r="H5" s="3" t="inlineStr">
        <is>
          <t>In test</t>
        </is>
      </c>
      <c r="I5" s="3" t="inlineStr">
        <is>
          <t>Production</t>
        </is>
      </c>
      <c r="J5" s="3" t="inlineStr">
        <is>
          <t>% terminé</t>
        </is>
      </c>
      <c r="K5" s="3" t="inlineStr">
        <is>
          <t>Identifiants</t>
        </is>
      </c>
    </row>
    <row r="6">
      <c r="A6" s="4" t="inlineStr">
        <is>
          <t>R1</t>
        </is>
      </c>
      <c r="B6" s="4" t="inlineStr">
        <is>
          <t>Comptoir</t>
        </is>
      </c>
      <c r="C6" s="4" t="inlineStr">
        <is>
          <t>janvier 2027, entrées en cours de saison</t>
        </is>
      </c>
      <c r="D6" s="4">
        <f>COUNTIF(Features!$C$2:$C$74,$A6)</f>
        <v/>
      </c>
      <c r="E6" s="4">
        <f>COUNTIFS(Features!$C$2:$C$74,$A6,Features!$F$2:$F$74,"Waiting")</f>
        <v/>
      </c>
      <c r="F6" s="4">
        <f>COUNTIFS(Features!$C$2:$C$74,$A6,Features!$F$2:$F$74,"Cadrage")</f>
        <v/>
      </c>
      <c r="G6" s="4">
        <f>COUNTIFS(Features!$C$2:$C$74,$A6,Features!$F$2:$F$74,"Dev")</f>
        <v/>
      </c>
      <c r="H6" s="4">
        <f>COUNTIFS(Features!$C$2:$C$74,$A6,Features!$F$2:$F$74,"In test")</f>
        <v/>
      </c>
      <c r="I6" s="4">
        <f>COUNTIFS(Features!$C$2:$C$74,$A6,Features!$F$2:$F$74,"Production")</f>
        <v/>
      </c>
      <c r="J6" s="5">
        <f>IF($D6=0,"",$I6/$D6)</f>
        <v/>
      </c>
      <c r="K6" s="4" t="n">
        <v>72</v>
      </c>
    </row>
    <row r="7">
      <c r="A7" s="4" t="inlineStr">
        <is>
          <t>R2</t>
        </is>
      </c>
      <c r="B7" s="4" t="inlineStr">
        <is>
          <t>Planning et coachs</t>
        </is>
      </c>
      <c r="C7" s="4" t="inlineStr">
        <is>
          <t>avril 2027, en service au plus tard en juillet 2027 pour préparer la saison 2027-2028 (duplication de saison, groupes, créneaux)</t>
        </is>
      </c>
      <c r="D7" s="4">
        <f>COUNTIF(Features!$C$2:$C$74,$A7)</f>
        <v/>
      </c>
      <c r="E7" s="4">
        <f>COUNTIFS(Features!$C$2:$C$74,$A7,Features!$F$2:$F$74,"Waiting")</f>
        <v/>
      </c>
      <c r="F7" s="4">
        <f>COUNTIFS(Features!$C$2:$C$74,$A7,Features!$F$2:$F$74,"Cadrage")</f>
        <v/>
      </c>
      <c r="G7" s="4">
        <f>COUNTIFS(Features!$C$2:$C$74,$A7,Features!$F$2:$F$74,"Dev")</f>
        <v/>
      </c>
      <c r="H7" s="4">
        <f>COUNTIFS(Features!$C$2:$C$74,$A7,Features!$F$2:$F$74,"In test")</f>
        <v/>
      </c>
      <c r="I7" s="4">
        <f>COUNTIFS(Features!$C$2:$C$74,$A7,Features!$F$2:$F$74,"Production")</f>
        <v/>
      </c>
      <c r="J7" s="5">
        <f>IF($D7=0,"",$I7/$D7)</f>
        <v/>
      </c>
      <c r="K7" s="4" t="n">
        <v>18</v>
      </c>
    </row>
    <row r="8">
      <c r="A8" s="4" t="inlineStr">
        <is>
          <t>R3</t>
        </is>
      </c>
      <c r="B8" s="4" t="inlineStr">
        <is>
          <t>Parents, relances et exports comptables</t>
        </is>
      </c>
      <c r="C8" s="4" t="inlineStr">
        <is>
          <t>mai-juin 2027 pour relancer les reliquats de fin de saison et couvrir la cérémonie de juin ; au plus tard septembre 2027 pour les échéanciers du pic</t>
        </is>
      </c>
      <c r="D8" s="4">
        <f>COUNTIF(Features!$C$2:$C$74,$A8)</f>
        <v/>
      </c>
      <c r="E8" s="4">
        <f>COUNTIFS(Features!$C$2:$C$74,$A8,Features!$F$2:$F$74,"Waiting")</f>
        <v/>
      </c>
      <c r="F8" s="4">
        <f>COUNTIFS(Features!$C$2:$C$74,$A8,Features!$F$2:$F$74,"Cadrage")</f>
        <v/>
      </c>
      <c r="G8" s="4">
        <f>COUNTIFS(Features!$C$2:$C$74,$A8,Features!$F$2:$F$74,"Dev")</f>
        <v/>
      </c>
      <c r="H8" s="4">
        <f>COUNTIFS(Features!$C$2:$C$74,$A8,Features!$F$2:$F$74,"In test")</f>
        <v/>
      </c>
      <c r="I8" s="4">
        <f>COUNTIFS(Features!$C$2:$C$74,$A8,Features!$F$2:$F$74,"Production")</f>
        <v/>
      </c>
      <c r="J8" s="5">
        <f>IF($D8=0,"",$I8/$D8)</f>
        <v/>
      </c>
      <c r="K8" s="4" t="n">
        <v>23</v>
      </c>
    </row>
    <row r="9">
      <c r="A9" s="4" t="inlineStr">
        <is>
          <t>R4</t>
        </is>
      </c>
      <c r="B9" s="4" t="inlineStr">
        <is>
          <t>Pointage</t>
        </is>
      </c>
      <c r="C9" s="4" t="inlineStr">
        <is>
          <t>septembre 2027, premier cours de la saison 2027-2028, pour que les coachs prennent l'habitude dès le départ</t>
        </is>
      </c>
      <c r="D9" s="4">
        <f>COUNTIF(Features!$C$2:$C$74,$A9)</f>
        <v/>
      </c>
      <c r="E9" s="4">
        <f>COUNTIFS(Features!$C$2:$C$74,$A9,Features!$F$2:$F$74,"Waiting")</f>
        <v/>
      </c>
      <c r="F9" s="4">
        <f>COUNTIFS(Features!$C$2:$C$74,$A9,Features!$F$2:$F$74,"Cadrage")</f>
        <v/>
      </c>
      <c r="G9" s="4">
        <f>COUNTIFS(Features!$C$2:$C$74,$A9,Features!$F$2:$F$74,"Dev")</f>
        <v/>
      </c>
      <c r="H9" s="4">
        <f>COUNTIFS(Features!$C$2:$C$74,$A9,Features!$F$2:$F$74,"In test")</f>
        <v/>
      </c>
      <c r="I9" s="4">
        <f>COUNTIFS(Features!$C$2:$C$74,$A9,Features!$F$2:$F$74,"Production")</f>
        <v/>
      </c>
      <c r="J9" s="5">
        <f>IF($D9=0,"",$I9/$D9)</f>
        <v/>
      </c>
      <c r="K9" s="4" t="n">
        <v>16</v>
      </c>
    </row>
    <row r="10">
      <c r="A10" s="4" t="inlineStr">
        <is>
          <t>R5</t>
        </is>
      </c>
      <c r="B10" s="4" t="inlineStr">
        <is>
          <t>Rémunération et arrière-boutique</t>
        </is>
      </c>
      <c r="C10" s="4" t="inlineStr">
        <is>
          <t>novembre 2027 à janvier 2028, après un mois complet de séances pointées</t>
        </is>
      </c>
      <c r="D10" s="4">
        <f>COUNTIF(Features!$C$2:$C$74,$A10)</f>
        <v/>
      </c>
      <c r="E10" s="4">
        <f>COUNTIFS(Features!$C$2:$C$74,$A10,Features!$F$2:$F$74,"Waiting")</f>
        <v/>
      </c>
      <c r="F10" s="4">
        <f>COUNTIFS(Features!$C$2:$C$74,$A10,Features!$F$2:$F$74,"Cadrage")</f>
        <v/>
      </c>
      <c r="G10" s="4">
        <f>COUNTIFS(Features!$C$2:$C$74,$A10,Features!$F$2:$F$74,"Dev")</f>
        <v/>
      </c>
      <c r="H10" s="4">
        <f>COUNTIFS(Features!$C$2:$C$74,$A10,Features!$F$2:$F$74,"In test")</f>
        <v/>
      </c>
      <c r="I10" s="4">
        <f>COUNTIFS(Features!$C$2:$C$74,$A10,Features!$F$2:$F$74,"Production")</f>
        <v/>
      </c>
      <c r="J10" s="5">
        <f>IF($D10=0,"",$I10/$D10)</f>
        <v/>
      </c>
      <c r="K10" s="4" t="n">
        <v>18</v>
      </c>
    </row>
    <row r="11">
      <c r="A11" s="4" t="inlineStr">
        <is>
          <t>R6</t>
        </is>
      </c>
      <c r="B11" s="4" t="inlineStr">
        <is>
          <t>Fin de saison et réinscription</t>
        </is>
      </c>
      <c r="C11" s="4" t="inlineStr">
        <is>
          <t>mars-avril 2028, pour la campagne de mai-juin 2028 et la cérémonie de juin 2028</t>
        </is>
      </c>
      <c r="D11" s="4">
        <f>COUNTIF(Features!$C$2:$C$74,$A11)</f>
        <v/>
      </c>
      <c r="E11" s="4">
        <f>COUNTIFS(Features!$C$2:$C$74,$A11,Features!$F$2:$F$74,"Waiting")</f>
        <v/>
      </c>
      <c r="F11" s="4">
        <f>COUNTIFS(Features!$C$2:$C$74,$A11,Features!$F$2:$F$74,"Cadrage")</f>
        <v/>
      </c>
      <c r="G11" s="4">
        <f>COUNTIFS(Features!$C$2:$C$74,$A11,Features!$F$2:$F$74,"Dev")</f>
        <v/>
      </c>
      <c r="H11" s="4">
        <f>COUNTIFS(Features!$C$2:$C$74,$A11,Features!$F$2:$F$74,"In test")</f>
        <v/>
      </c>
      <c r="I11" s="4">
        <f>COUNTIFS(Features!$C$2:$C$74,$A11,Features!$F$2:$F$74,"Production")</f>
        <v/>
      </c>
      <c r="J11" s="5">
        <f>IF($D11=0,"",$I11/$D11)</f>
        <v/>
      </c>
      <c r="K11" s="4" t="n">
        <v>13</v>
      </c>
    </row>
    <row r="12">
      <c r="A12" s="4" t="inlineStr">
        <is>
          <t>R7</t>
        </is>
      </c>
      <c r="B12" s="4" t="inlineStr">
        <is>
          <t>Camp d'été</t>
        </is>
      </c>
      <c r="C12" s="4" t="inlineStr">
        <is>
          <t>mai 2028 pour le camp de juillet 2028</t>
        </is>
      </c>
      <c r="D12" s="4">
        <f>COUNTIF(Features!$C$2:$C$74,$A12)</f>
        <v/>
      </c>
      <c r="E12" s="4">
        <f>COUNTIFS(Features!$C$2:$C$74,$A12,Features!$F$2:$F$74,"Waiting")</f>
        <v/>
      </c>
      <c r="F12" s="4">
        <f>COUNTIFS(Features!$C$2:$C$74,$A12,Features!$F$2:$F$74,"Cadrage")</f>
        <v/>
      </c>
      <c r="G12" s="4">
        <f>COUNTIFS(Features!$C$2:$C$74,$A12,Features!$F$2:$F$74,"Dev")</f>
        <v/>
      </c>
      <c r="H12" s="4">
        <f>COUNTIFS(Features!$C$2:$C$74,$A12,Features!$F$2:$F$74,"In test")</f>
        <v/>
      </c>
      <c r="I12" s="4">
        <f>COUNTIFS(Features!$C$2:$C$74,$A12,Features!$F$2:$F$74,"Production")</f>
        <v/>
      </c>
      <c r="J12" s="5">
        <f>IF($D12=0,"",$I12/$D12)</f>
        <v/>
      </c>
      <c r="K12" s="4" t="n">
        <v>6</v>
      </c>
    </row>
    <row r="13">
      <c r="A13" s="4" t="inlineStr">
        <is>
          <t>R8</t>
        </is>
      </c>
      <c r="B13" s="4" t="inlineStr">
        <is>
          <t>Portail parent et acquisition</t>
        </is>
      </c>
      <c r="C13" s="4" t="inlineStr">
        <is>
          <t>septembre 2028, les parents découvrent le portail à l'inscription</t>
        </is>
      </c>
      <c r="D13" s="4">
        <f>COUNTIF(Features!$C$2:$C$74,$A13)</f>
        <v/>
      </c>
      <c r="E13" s="4">
        <f>COUNTIFS(Features!$C$2:$C$74,$A13,Features!$F$2:$F$74,"Waiting")</f>
        <v/>
      </c>
      <c r="F13" s="4">
        <f>COUNTIFS(Features!$C$2:$C$74,$A13,Features!$F$2:$F$74,"Cadrage")</f>
        <v/>
      </c>
      <c r="G13" s="4">
        <f>COUNTIFS(Features!$C$2:$C$74,$A13,Features!$F$2:$F$74,"Dev")</f>
        <v/>
      </c>
      <c r="H13" s="4">
        <f>COUNTIFS(Features!$C$2:$C$74,$A13,Features!$F$2:$F$74,"In test")</f>
        <v/>
      </c>
      <c r="I13" s="4">
        <f>COUNTIFS(Features!$C$2:$C$74,$A13,Features!$F$2:$F$74,"Production")</f>
        <v/>
      </c>
      <c r="J13" s="5">
        <f>IF($D13=0,"",$I13/$D13)</f>
        <v/>
      </c>
      <c r="K13" s="4" t="n">
        <v>20</v>
      </c>
    </row>
    <row r="14">
      <c r="A14" s="4" t="inlineStr">
        <is>
          <t>R9</t>
        </is>
      </c>
      <c r="B14" s="4" t="inlineStr">
        <is>
          <t>Deuxième club</t>
        </is>
      </c>
      <c r="C14" s="4" t="inlineStr">
        <is>
          <t>aucune fenêtre calendaire ; déclenchée par la signature d'un second club</t>
        </is>
      </c>
      <c r="D14" s="4">
        <f>COUNTIF(Features!$C$2:$C$74,$A14)</f>
        <v/>
      </c>
      <c r="E14" s="4">
        <f>COUNTIFS(Features!$C$2:$C$74,$A14,Features!$F$2:$F$74,"Waiting")</f>
        <v/>
      </c>
      <c r="F14" s="4">
        <f>COUNTIFS(Features!$C$2:$C$74,$A14,Features!$F$2:$F$74,"Cadrage")</f>
        <v/>
      </c>
      <c r="G14" s="4">
        <f>COUNTIFS(Features!$C$2:$C$74,$A14,Features!$F$2:$F$74,"Dev")</f>
        <v/>
      </c>
      <c r="H14" s="4">
        <f>COUNTIFS(Features!$C$2:$C$74,$A14,Features!$F$2:$F$74,"In test")</f>
        <v/>
      </c>
      <c r="I14" s="4">
        <f>COUNTIFS(Features!$C$2:$C$74,$A14,Features!$F$2:$F$74,"Production")</f>
        <v/>
      </c>
      <c r="J14" s="5">
        <f>IF($D14=0,"",$I14/$D14)</f>
        <v/>
      </c>
      <c r="K14" s="4" t="n">
        <v>4</v>
      </c>
    </row>
    <row r="15">
      <c r="A15" s="6" t="inlineStr">
        <is>
          <t>Total</t>
        </is>
      </c>
      <c r="B15" s="7" t="n"/>
      <c r="C15" s="7" t="n"/>
      <c r="D15" s="6">
        <f>SUM(D6:D14)</f>
        <v/>
      </c>
      <c r="E15" s="6">
        <f>SUM(E6:E14)</f>
        <v/>
      </c>
      <c r="F15" s="6">
        <f>SUM(F6:F14)</f>
        <v/>
      </c>
      <c r="G15" s="6">
        <f>SUM(G6:G14)</f>
        <v/>
      </c>
      <c r="H15" s="6">
        <f>SUM(H6:H14)</f>
        <v/>
      </c>
      <c r="I15" s="6">
        <f>SUM(I6:I14)</f>
        <v/>
      </c>
      <c r="J15" s="8">
        <f>IF($D15=0,"",$I15/$D15)</f>
        <v/>
      </c>
      <c r="K15" s="6">
        <f>SUM(K6:K14)</f>
        <v/>
      </c>
    </row>
    <row r="17">
      <c r="A17" s="9" t="inlineStr">
        <is>
          <t>13 identifiants écartés, voir la feuille Écartés.</t>
        </is>
      </c>
    </row>
    <row r="19">
      <c r="A19" s="10" t="inlineStr">
        <is>
          <t>États</t>
        </is>
      </c>
    </row>
    <row r="20">
      <c r="A20" s="11" t="inlineStr">
        <is>
          <t>Waiting</t>
        </is>
      </c>
      <c r="B20" t="inlineStr">
        <is>
          <t>Pas commencée</t>
        </is>
      </c>
    </row>
    <row r="21">
      <c r="A21" s="12" t="inlineStr">
        <is>
          <t>Cadrage</t>
        </is>
      </c>
      <c r="B21" t="inlineStr">
        <is>
          <t>Étapes 1 et 2 : fiche, questions, benchmark</t>
        </is>
      </c>
    </row>
    <row r="22">
      <c r="A22" s="13" t="inlineStr">
        <is>
          <t>Dev</t>
        </is>
      </c>
      <c r="B22" t="inlineStr">
        <is>
          <t>Étapes 3 à 5 : plan, tests d'abord, implémentation</t>
        </is>
      </c>
    </row>
    <row r="23">
      <c r="A23" s="14" t="inlineStr">
        <is>
          <t>In test</t>
        </is>
      </c>
      <c r="B23" t="inlineStr">
        <is>
          <t>Étape 5 : tests verts, recette</t>
        </is>
      </c>
    </row>
    <row r="24">
      <c r="A24" s="15" t="inlineStr">
        <is>
          <t>Production</t>
        </is>
      </c>
      <c r="B24" t="inlineStr">
        <is>
          <t>Étape 6 : livrée, validée, en service</t>
        </is>
      </c>
    </row>
    <row r="26">
      <c r="A26" s="10" t="inlineStr">
        <is>
          <t>Dates</t>
        </is>
      </c>
    </row>
    <row r="27">
      <c r="A27" t="inlineStr">
        <is>
          <t>Cycle de développement : de « Début cadrage » à « Fin test ».</t>
        </is>
      </c>
    </row>
    <row r="28">
      <c r="A28" t="inlineStr">
        <is>
          <t>Mise en production : colonne « Date production », distincte du cycle.</t>
        </is>
      </c>
    </row>
  </sheetData>
  <mergeCells count="1">
    <mergeCell ref="A2:L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7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4" customWidth="1" min="2" max="2"/>
    <col width="9" customWidth="1" min="3" max="3"/>
    <col width="46" customWidth="1" min="4" max="4"/>
    <col width="7" customWidth="1" min="5" max="5"/>
    <col width="12" customWidth="1" min="6" max="6"/>
    <col width="16" customWidth="1" min="7" max="7"/>
    <col width="14" customWidth="1" min="8" max="8"/>
    <col width="14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5" customWidth="1" min="15" max="15"/>
    <col width="16" customWidth="1" min="16" max="16"/>
    <col width="40" customWidth="1" min="17" max="17"/>
  </cols>
  <sheetData>
    <row r="1" ht="30" customHeight="1">
      <c r="A1" s="16" t="inlineStr">
        <is>
          <t>Feature</t>
        </is>
      </c>
      <c r="B1" s="16" t="inlineStr">
        <is>
          <t>Nom</t>
        </is>
      </c>
      <c r="C1" s="16" t="inlineStr">
        <is>
          <t>Release</t>
        </is>
      </c>
      <c r="D1" s="16" t="inlineStr">
        <is>
          <t>Identifiants du backlog</t>
        </is>
      </c>
      <c r="E1" s="16" t="inlineStr">
        <is>
          <t>Nb ID</t>
        </is>
      </c>
      <c r="F1" s="16" t="inlineStr">
        <is>
          <t>État</t>
        </is>
      </c>
      <c r="G1" s="16" t="inlineStr">
        <is>
          <t>Responsable</t>
        </is>
      </c>
      <c r="H1" s="16" t="inlineStr">
        <is>
          <t>Début cadrage</t>
        </is>
      </c>
      <c r="I1" s="16" t="inlineStr">
        <is>
          <t>Fin cadrage</t>
        </is>
      </c>
      <c r="J1" s="16" t="inlineStr">
        <is>
          <t>Début dev</t>
        </is>
      </c>
      <c r="K1" s="16" t="inlineStr">
        <is>
          <t>Fin dev</t>
        </is>
      </c>
      <c r="L1" s="16" t="inlineStr">
        <is>
          <t>Début test</t>
        </is>
      </c>
      <c r="M1" s="16" t="inlineStr">
        <is>
          <t>Fin test</t>
        </is>
      </c>
      <c r="N1" s="16" t="inlineStr">
        <is>
          <t>Durée cycle (j)</t>
        </is>
      </c>
      <c r="O1" s="16" t="inlineStr">
        <is>
          <t>Date production</t>
        </is>
      </c>
      <c r="P1" s="16" t="inlineStr">
        <is>
          <t>Délai test → prod (j)</t>
        </is>
      </c>
      <c r="Q1" s="16" t="inlineStr">
        <is>
          <t>Commentaire</t>
        </is>
      </c>
    </row>
    <row r="2">
      <c r="A2" s="4" t="inlineStr">
        <is>
          <t>F01</t>
        </is>
      </c>
      <c r="B2" s="4" t="inlineStr">
        <is>
          <t>Socle plateforme</t>
        </is>
      </c>
      <c r="C2" s="4" t="inlineStr">
        <is>
          <t>R1</t>
        </is>
      </c>
      <c r="D2" s="4" t="inlineStr">
        <is>
          <t>PLT-01, PLT-04, PLT-05, SEC-01, SEC-02, SEC-03, SEC-04, ADM-01, INT-03</t>
        </is>
      </c>
      <c r="E2" s="4" t="n">
        <v>9</v>
      </c>
      <c r="F2" s="4" t="inlineStr">
        <is>
          <t>Cadrage</t>
        </is>
      </c>
      <c r="G2" s="4" t="n"/>
      <c r="H2" s="17" t="n">
        <v>46285</v>
      </c>
      <c r="I2" s="17" t="n"/>
      <c r="J2" s="17" t="n"/>
      <c r="K2" s="17" t="n"/>
      <c r="L2" s="17" t="n"/>
      <c r="M2" s="17" t="n"/>
      <c r="N2" s="4">
        <f>IF(AND(H2&lt;&gt;"",M2&lt;&gt;""),M2-H2,"")</f>
        <v/>
      </c>
      <c r="O2" s="17" t="n"/>
      <c r="P2" s="4">
        <f>IF(AND(M2&lt;&gt;"",O2&lt;&gt;""),O2-M2,"")</f>
        <v/>
      </c>
      <c r="Q2" s="4" t="inlineStr">
        <is>
          <t>Fiche rédigée, 10 questions en attente</t>
        </is>
      </c>
    </row>
    <row r="3">
      <c r="A3" s="4" t="inlineStr">
        <is>
          <t>F02</t>
        </is>
      </c>
      <c r="B3" s="4" t="inlineStr">
        <is>
          <t>Famille, parents, enfant</t>
        </is>
      </c>
      <c r="C3" s="4" t="inlineStr">
        <is>
          <t>R1</t>
        </is>
      </c>
      <c r="D3" s="4" t="inlineStr">
        <is>
          <t>FAM-01, FAM-02, FAM-03, FAM-04, FAM-12</t>
        </is>
      </c>
      <c r="E3" s="4" t="n">
        <v>5</v>
      </c>
      <c r="F3" s="4" t="inlineStr">
        <is>
          <t>Waiting</t>
        </is>
      </c>
      <c r="G3" s="4" t="n"/>
      <c r="H3" s="17" t="n"/>
      <c r="I3" s="17" t="n"/>
      <c r="J3" s="17" t="n"/>
      <c r="K3" s="17" t="n"/>
      <c r="L3" s="17" t="n"/>
      <c r="M3" s="17" t="n"/>
      <c r="N3" s="4">
        <f>IF(AND(H3&lt;&gt;"",M3&lt;&gt;""),M3-H3,"")</f>
        <v/>
      </c>
      <c r="O3" s="17" t="n"/>
      <c r="P3" s="4">
        <f>IF(AND(M3&lt;&gt;"",O3&lt;&gt;""),O3-M3,"")</f>
        <v/>
      </c>
      <c r="Q3" s="4" t="n"/>
    </row>
    <row r="4">
      <c r="A4" s="4" t="inlineStr">
        <is>
          <t>F03</t>
        </is>
      </c>
      <c r="B4" s="4" t="inlineStr">
        <is>
          <t>Dossier complet</t>
        </is>
      </c>
      <c r="C4" s="4" t="inlineStr">
        <is>
          <t>R1</t>
        </is>
      </c>
      <c r="D4" s="4" t="inlineStr">
        <is>
          <t>FAM-05, FAM-06, FAM-07, FAM-08, FAM-11, ONB-03, ONB-04, ADM-04</t>
        </is>
      </c>
      <c r="E4" s="4" t="n">
        <v>8</v>
      </c>
      <c r="F4" s="4" t="inlineStr">
        <is>
          <t>Waiting</t>
        </is>
      </c>
      <c r="G4" s="4" t="n"/>
      <c r="H4" s="17" t="n"/>
      <c r="I4" s="17" t="n"/>
      <c r="J4" s="17" t="n"/>
      <c r="K4" s="17" t="n"/>
      <c r="L4" s="17" t="n"/>
      <c r="M4" s="17" t="n"/>
      <c r="N4" s="4">
        <f>IF(AND(H4&lt;&gt;"",M4&lt;&gt;""),M4-H4,"")</f>
        <v/>
      </c>
      <c r="O4" s="17" t="n"/>
      <c r="P4" s="4">
        <f>IF(AND(M4&lt;&gt;"",O4&lt;&gt;""),O4-M4,"")</f>
        <v/>
      </c>
      <c r="Q4" s="4" t="n"/>
    </row>
    <row r="5">
      <c r="A5" s="4" t="inlineStr">
        <is>
          <t>F04</t>
        </is>
      </c>
      <c r="B5" s="4" t="inlineStr">
        <is>
          <t>Catalogue, groupes, saison</t>
        </is>
      </c>
      <c r="C5" s="4" t="inlineStr">
        <is>
          <t>R1</t>
        </is>
      </c>
      <c r="D5" s="4" t="inlineStr">
        <is>
          <t>ACT-01, ACT-02, ACT-03, ACT-04, NIV-01, GRP-01, GRP-03, GRP-04, PLA-01, PLA-02, PLA-05</t>
        </is>
      </c>
      <c r="E5" s="4" t="n">
        <v>11</v>
      </c>
      <c r="F5" s="4" t="inlineStr">
        <is>
          <t>Waiting</t>
        </is>
      </c>
      <c r="G5" s="4" t="n"/>
      <c r="H5" s="17" t="n"/>
      <c r="I5" s="17" t="n"/>
      <c r="J5" s="17" t="n"/>
      <c r="K5" s="17" t="n"/>
      <c r="L5" s="17" t="n"/>
      <c r="M5" s="17" t="n"/>
      <c r="N5" s="4">
        <f>IF(AND(H5&lt;&gt;"",M5&lt;&gt;""),M5-H5,"")</f>
        <v/>
      </c>
      <c r="O5" s="17" t="n"/>
      <c r="P5" s="4">
        <f>IF(AND(M5&lt;&gt;"",O5&lt;&gt;""),O5-M5,"")</f>
        <v/>
      </c>
      <c r="Q5" s="4" t="n"/>
    </row>
    <row r="6">
      <c r="A6" s="4" t="inlineStr">
        <is>
          <t>F05</t>
        </is>
      </c>
      <c r="B6" s="4" t="inlineStr">
        <is>
          <t>Offre et grille tarifaire</t>
        </is>
      </c>
      <c r="C6" s="4" t="inlineStr">
        <is>
          <t>R1</t>
        </is>
      </c>
      <c r="D6" s="4" t="inlineStr">
        <is>
          <t>OFR-01, OFR-02, OFR-03, OFR-04, OFR-05, TAR-01, TAR-02, TAR-03, TAR-06, TAR-08</t>
        </is>
      </c>
      <c r="E6" s="4" t="n">
        <v>10</v>
      </c>
      <c r="F6" s="4" t="inlineStr">
        <is>
          <t>Waiting</t>
        </is>
      </c>
      <c r="G6" s="4" t="n"/>
      <c r="H6" s="17" t="n"/>
      <c r="I6" s="17" t="n"/>
      <c r="J6" s="17" t="n"/>
      <c r="K6" s="17" t="n"/>
      <c r="L6" s="17" t="n"/>
      <c r="M6" s="17" t="n"/>
      <c r="N6" s="4">
        <f>IF(AND(H6&lt;&gt;"",M6&lt;&gt;""),M6-H6,"")</f>
        <v/>
      </c>
      <c r="O6" s="17" t="n"/>
      <c r="P6" s="4">
        <f>IF(AND(M6&lt;&gt;"",O6&lt;&gt;""),O6-M6,"")</f>
        <v/>
      </c>
      <c r="Q6" s="4" t="n"/>
    </row>
    <row r="7">
      <c r="A7" s="4" t="inlineStr">
        <is>
          <t>F06</t>
        </is>
      </c>
      <c r="B7" s="4" t="inlineStr">
        <is>
          <t>Remises</t>
        </is>
      </c>
      <c r="C7" s="4" t="inlineStr">
        <is>
          <t>R1</t>
        </is>
      </c>
      <c r="D7" s="4" t="inlineStr">
        <is>
          <t>TAR-04, TAR-05</t>
        </is>
      </c>
      <c r="E7" s="4" t="n">
        <v>2</v>
      </c>
      <c r="F7" s="4" t="inlineStr">
        <is>
          <t>Waiting</t>
        </is>
      </c>
      <c r="G7" s="4" t="n"/>
      <c r="H7" s="17" t="n"/>
      <c r="I7" s="17" t="n"/>
      <c r="J7" s="17" t="n"/>
      <c r="K7" s="17" t="n"/>
      <c r="L7" s="17" t="n"/>
      <c r="M7" s="17" t="n"/>
      <c r="N7" s="4">
        <f>IF(AND(H7&lt;&gt;"",M7&lt;&gt;""),M7-H7,"")</f>
        <v/>
      </c>
      <c r="O7" s="17" t="n"/>
      <c r="P7" s="4">
        <f>IF(AND(M7&lt;&gt;"",O7&lt;&gt;""),O7-M7,"")</f>
        <v/>
      </c>
      <c r="Q7" s="4" t="n"/>
    </row>
    <row r="8">
      <c r="A8" s="4" t="inlineStr">
        <is>
          <t>F07</t>
        </is>
      </c>
      <c r="B8" s="4" t="inlineStr">
        <is>
          <t>Inscription</t>
        </is>
      </c>
      <c r="C8" s="4" t="inlineStr">
        <is>
          <t>R1</t>
        </is>
      </c>
      <c r="D8" s="4" t="inlineStr">
        <is>
          <t>INS-01, INS-02, INS-03, GRP-02, GRP-05, FAM-10, ONB-01, ONB-05</t>
        </is>
      </c>
      <c r="E8" s="4" t="n">
        <v>8</v>
      </c>
      <c r="F8" s="4" t="inlineStr">
        <is>
          <t>Waiting</t>
        </is>
      </c>
      <c r="G8" s="4" t="n"/>
      <c r="H8" s="17" t="n"/>
      <c r="I8" s="17" t="n"/>
      <c r="J8" s="17" t="n"/>
      <c r="K8" s="17" t="n"/>
      <c r="L8" s="17" t="n"/>
      <c r="M8" s="17" t="n"/>
      <c r="N8" s="4">
        <f>IF(AND(H8&lt;&gt;"",M8&lt;&gt;""),M8-H8,"")</f>
        <v/>
      </c>
      <c r="O8" s="17" t="n"/>
      <c r="P8" s="4">
        <f>IF(AND(M8&lt;&gt;"",O8&lt;&gt;""),O8-M8,"")</f>
        <v/>
      </c>
      <c r="Q8" s="4" t="n"/>
    </row>
    <row r="9">
      <c r="A9" s="4" t="inlineStr">
        <is>
          <t>F08</t>
        </is>
      </c>
      <c r="B9" s="4" t="inlineStr">
        <is>
          <t>Facture famille et solde</t>
        </is>
      </c>
      <c r="C9" s="4" t="inlineStr">
        <is>
          <t>R1</t>
        </is>
      </c>
      <c r="D9" s="4" t="inlineStr">
        <is>
          <t>FAC-01, FAC-02, FAC-06, FAC-09, CPT-02</t>
        </is>
      </c>
      <c r="E9" s="4" t="n">
        <v>5</v>
      </c>
      <c r="F9" s="4" t="inlineStr">
        <is>
          <t>Waiting</t>
        </is>
      </c>
      <c r="G9" s="4" t="n"/>
      <c r="H9" s="17" t="n"/>
      <c r="I9" s="17" t="n"/>
      <c r="J9" s="17" t="n"/>
      <c r="K9" s="17" t="n"/>
      <c r="L9" s="17" t="n"/>
      <c r="M9" s="17" t="n"/>
      <c r="N9" s="4">
        <f>IF(AND(H9&lt;&gt;"",M9&lt;&gt;""),M9-H9,"")</f>
        <v/>
      </c>
      <c r="O9" s="17" t="n"/>
      <c r="P9" s="4">
        <f>IF(AND(M9&lt;&gt;"",O9&lt;&gt;""),O9-M9,"")</f>
        <v/>
      </c>
      <c r="Q9" s="4" t="n"/>
    </row>
    <row r="10">
      <c r="A10" s="4" t="inlineStr">
        <is>
          <t>F09</t>
        </is>
      </c>
      <c r="B10" s="4" t="inlineStr">
        <is>
          <t>Encaissement et reçu</t>
        </is>
      </c>
      <c r="C10" s="4" t="inlineStr">
        <is>
          <t>R1</t>
        </is>
      </c>
      <c r="D10" s="4" t="inlineStr">
        <is>
          <t>FAC-03, FAC-05, FAC-07, FIN-04</t>
        </is>
      </c>
      <c r="E10" s="4" t="n">
        <v>4</v>
      </c>
      <c r="F10" s="4" t="inlineStr">
        <is>
          <t>Waiting</t>
        </is>
      </c>
      <c r="G10" s="4" t="n"/>
      <c r="H10" s="17" t="n"/>
      <c r="I10" s="17" t="n"/>
      <c r="J10" s="17" t="n"/>
      <c r="K10" s="17" t="n"/>
      <c r="L10" s="17" t="n"/>
      <c r="M10" s="17" t="n"/>
      <c r="N10" s="4">
        <f>IF(AND(H10&lt;&gt;"",M10&lt;&gt;""),M10-H10,"")</f>
        <v/>
      </c>
      <c r="O10" s="17" t="n"/>
      <c r="P10" s="4">
        <f>IF(AND(M10&lt;&gt;"",O10&lt;&gt;""),O10-M10,"")</f>
        <v/>
      </c>
      <c r="Q10" s="4" t="n"/>
    </row>
    <row r="11">
      <c r="A11" s="4" t="inlineStr">
        <is>
          <t>F10</t>
        </is>
      </c>
      <c r="B11" s="4" t="inlineStr">
        <is>
          <t>Registre des chèques</t>
        </is>
      </c>
      <c r="C11" s="4" t="inlineStr">
        <is>
          <t>R1</t>
        </is>
      </c>
      <c r="D11" s="4" t="inlineStr">
        <is>
          <t>FAC-08</t>
        </is>
      </c>
      <c r="E11" s="4" t="n">
        <v>1</v>
      </c>
      <c r="F11" s="4" t="inlineStr">
        <is>
          <t>Waiting</t>
        </is>
      </c>
      <c r="G11" s="4" t="n"/>
      <c r="H11" s="17" t="n"/>
      <c r="I11" s="17" t="n"/>
      <c r="J11" s="17" t="n"/>
      <c r="K11" s="17" t="n"/>
      <c r="L11" s="17" t="n"/>
      <c r="M11" s="17" t="n"/>
      <c r="N11" s="4">
        <f>IF(AND(H11&lt;&gt;"",M11&lt;&gt;""),M11-H11,"")</f>
        <v/>
      </c>
      <c r="O11" s="17" t="n"/>
      <c r="P11" s="4">
        <f>IF(AND(M11&lt;&gt;"",O11&lt;&gt;""),O11-M11,"")</f>
        <v/>
      </c>
      <c r="Q11" s="4" t="n"/>
    </row>
    <row r="12">
      <c r="A12" s="4" t="inlineStr">
        <is>
          <t>F11</t>
        </is>
      </c>
      <c r="B12" s="4" t="inlineStr">
        <is>
          <t>Avoir et remboursement</t>
        </is>
      </c>
      <c r="C12" s="4" t="inlineStr">
        <is>
          <t>R1</t>
        </is>
      </c>
      <c r="D12" s="4" t="inlineStr">
        <is>
          <t>FAC-04</t>
        </is>
      </c>
      <c r="E12" s="4" t="n">
        <v>1</v>
      </c>
      <c r="F12" s="4" t="inlineStr">
        <is>
          <t>Waiting</t>
        </is>
      </c>
      <c r="G12" s="4" t="n"/>
      <c r="H12" s="17" t="n"/>
      <c r="I12" s="17" t="n"/>
      <c r="J12" s="17" t="n"/>
      <c r="K12" s="17" t="n"/>
      <c r="L12" s="17" t="n"/>
      <c r="M12" s="17" t="n"/>
      <c r="N12" s="4">
        <f>IF(AND(H12&lt;&gt;"",M12&lt;&gt;""),M12-H12,"")</f>
        <v/>
      </c>
      <c r="O12" s="17" t="n"/>
      <c r="P12" s="4">
        <f>IF(AND(M12&lt;&gt;"",O12&lt;&gt;""),O12-M12,"")</f>
        <v/>
      </c>
      <c r="Q12" s="4" t="n"/>
    </row>
    <row r="13">
      <c r="A13" s="4" t="inlineStr">
        <is>
          <t>F12</t>
        </is>
      </c>
      <c r="B13" s="4" t="inlineStr">
        <is>
          <t>Caisse et remise du jour</t>
        </is>
      </c>
      <c r="C13" s="4" t="inlineStr">
        <is>
          <t>R1</t>
        </is>
      </c>
      <c r="D13" s="4" t="inlineStr">
        <is>
          <t>FIN-01, FIN-03</t>
        </is>
      </c>
      <c r="E13" s="4" t="n">
        <v>2</v>
      </c>
      <c r="F13" s="4" t="inlineStr">
        <is>
          <t>Waiting</t>
        </is>
      </c>
      <c r="G13" s="4" t="n"/>
      <c r="H13" s="17" t="n"/>
      <c r="I13" s="17" t="n"/>
      <c r="J13" s="17" t="n"/>
      <c r="K13" s="17" t="n"/>
      <c r="L13" s="17" t="n"/>
      <c r="M13" s="17" t="n"/>
      <c r="N13" s="4">
        <f>IF(AND(H13&lt;&gt;"",M13&lt;&gt;""),M13-H13,"")</f>
        <v/>
      </c>
      <c r="O13" s="17" t="n"/>
      <c r="P13" s="4">
        <f>IF(AND(M13&lt;&gt;"",O13&lt;&gt;""),O13-M13,"")</f>
        <v/>
      </c>
      <c r="Q13" s="4" t="n"/>
    </row>
    <row r="14">
      <c r="A14" s="4" t="inlineStr">
        <is>
          <t>F13</t>
        </is>
      </c>
      <c r="B14" s="4" t="inlineStr">
        <is>
          <t>Dépenses et résultat mensuel</t>
        </is>
      </c>
      <c r="C14" s="4" t="inlineStr">
        <is>
          <t>R1</t>
        </is>
      </c>
      <c r="D14" s="4" t="inlineStr">
        <is>
          <t>FIN-02, FIN-05</t>
        </is>
      </c>
      <c r="E14" s="4" t="n">
        <v>2</v>
      </c>
      <c r="F14" s="4" t="inlineStr">
        <is>
          <t>Waiting</t>
        </is>
      </c>
      <c r="G14" s="4" t="n"/>
      <c r="H14" s="17" t="n"/>
      <c r="I14" s="17" t="n"/>
      <c r="J14" s="17" t="n"/>
      <c r="K14" s="17" t="n"/>
      <c r="L14" s="17" t="n"/>
      <c r="M14" s="17" t="n"/>
      <c r="N14" s="4">
        <f>IF(AND(H14&lt;&gt;"",M14&lt;&gt;""),M14-H14,"")</f>
        <v/>
      </c>
      <c r="O14" s="17" t="n"/>
      <c r="P14" s="4">
        <f>IF(AND(M14&lt;&gt;"",O14&lt;&gt;""),O14-M14,"")</f>
        <v/>
      </c>
      <c r="Q14" s="4" t="n"/>
    </row>
    <row r="15">
      <c r="A15" s="4" t="inlineStr">
        <is>
          <t>F14</t>
        </is>
      </c>
      <c r="B15" s="4" t="inlineStr">
        <is>
          <t>Vente comptoir</t>
        </is>
      </c>
      <c r="C15" s="4" t="inlineStr">
        <is>
          <t>R1</t>
        </is>
      </c>
      <c r="D15" s="4" t="inlineStr">
        <is>
          <t>POS-01, POS-02</t>
        </is>
      </c>
      <c r="E15" s="4" t="n">
        <v>2</v>
      </c>
      <c r="F15" s="4" t="inlineStr">
        <is>
          <t>Waiting</t>
        </is>
      </c>
      <c r="G15" s="4" t="n"/>
      <c r="H15" s="17" t="n"/>
      <c r="I15" s="17" t="n"/>
      <c r="J15" s="17" t="n"/>
      <c r="K15" s="17" t="n"/>
      <c r="L15" s="17" t="n"/>
      <c r="M15" s="17" t="n"/>
      <c r="N15" s="4">
        <f>IF(AND(H15&lt;&gt;"",M15&lt;&gt;""),M15-H15,"")</f>
        <v/>
      </c>
      <c r="O15" s="17" t="n"/>
      <c r="P15" s="4">
        <f>IF(AND(M15&lt;&gt;"",O15&lt;&gt;""),O15-M15,"")</f>
        <v/>
      </c>
      <c r="Q15" s="4" t="n"/>
    </row>
    <row r="16">
      <c r="A16" s="4" t="inlineStr">
        <is>
          <t>F15</t>
        </is>
      </c>
      <c r="B16" s="4" t="inlineStr">
        <is>
          <t>Balance âgée</t>
        </is>
      </c>
      <c r="C16" s="4" t="inlineStr">
        <is>
          <t>R1</t>
        </is>
      </c>
      <c r="D16" s="4" t="inlineStr">
        <is>
          <t>IMP-01</t>
        </is>
      </c>
      <c r="E16" s="4" t="n">
        <v>1</v>
      </c>
      <c r="F16" s="4" t="inlineStr">
        <is>
          <t>Waiting</t>
        </is>
      </c>
      <c r="G16" s="4" t="n"/>
      <c r="H16" s="17" t="n"/>
      <c r="I16" s="17" t="n"/>
      <c r="J16" s="17" t="n"/>
      <c r="K16" s="17" t="n"/>
      <c r="L16" s="17" t="n"/>
      <c r="M16" s="17" t="n"/>
      <c r="N16" s="4">
        <f>IF(AND(H16&lt;&gt;"",M16&lt;&gt;""),M16-H16,"")</f>
        <v/>
      </c>
      <c r="O16" s="17" t="n"/>
      <c r="P16" s="4">
        <f>IF(AND(M16&lt;&gt;"",O16&lt;&gt;""),O16-M16,"")</f>
        <v/>
      </c>
      <c r="Q16" s="4" t="n"/>
    </row>
    <row r="17">
      <c r="A17" s="4" t="inlineStr">
        <is>
          <t>F16</t>
        </is>
      </c>
      <c r="B17" s="4" t="inlineStr">
        <is>
          <t>Import Excel et solde d'ouverture</t>
        </is>
      </c>
      <c r="C17" s="4" t="inlineStr">
        <is>
          <t>R1</t>
        </is>
      </c>
      <c r="D17" s="4" t="inlineStr">
        <is>
          <t>FAM-13</t>
        </is>
      </c>
      <c r="E17" s="4" t="n">
        <v>1</v>
      </c>
      <c r="F17" s="4" t="inlineStr">
        <is>
          <t>Waiting</t>
        </is>
      </c>
      <c r="G17" s="4" t="n"/>
      <c r="H17" s="17" t="n"/>
      <c r="I17" s="17" t="n"/>
      <c r="J17" s="17" t="n"/>
      <c r="K17" s="17" t="n"/>
      <c r="L17" s="17" t="n"/>
      <c r="M17" s="17" t="n"/>
      <c r="N17" s="4">
        <f>IF(AND(H17&lt;&gt;"",M17&lt;&gt;""),M17-H17,"")</f>
        <v/>
      </c>
      <c r="O17" s="17" t="n"/>
      <c r="P17" s="4">
        <f>IF(AND(M17&lt;&gt;"",O17&lt;&gt;""),O17-M17,"")</f>
        <v/>
      </c>
      <c r="Q17" s="4" t="n"/>
    </row>
    <row r="18">
      <c r="A18" s="4" t="inlineStr">
        <is>
          <t>F17</t>
        </is>
      </c>
      <c r="B18" s="4" t="inlineStr">
        <is>
          <t>Profil intervenant</t>
        </is>
      </c>
      <c r="C18" s="4" t="inlineStr">
        <is>
          <t>R2</t>
        </is>
      </c>
      <c r="D18" s="4" t="inlineStr">
        <is>
          <t>COA-01</t>
        </is>
      </c>
      <c r="E18" s="4" t="n">
        <v>1</v>
      </c>
      <c r="F18" s="4" t="inlineStr">
        <is>
          <t>Waiting</t>
        </is>
      </c>
      <c r="G18" s="4" t="n"/>
      <c r="H18" s="17" t="n"/>
      <c r="I18" s="17" t="n"/>
      <c r="J18" s="17" t="n"/>
      <c r="K18" s="17" t="n"/>
      <c r="L18" s="17" t="n"/>
      <c r="M18" s="17" t="n"/>
      <c r="N18" s="4">
        <f>IF(AND(H18&lt;&gt;"",M18&lt;&gt;""),M18-H18,"")</f>
        <v/>
      </c>
      <c r="O18" s="17" t="n"/>
      <c r="P18" s="4">
        <f>IF(AND(M18&lt;&gt;"",O18&lt;&gt;""),O18-M18,"")</f>
        <v/>
      </c>
      <c r="Q18" s="4" t="n"/>
    </row>
    <row r="19">
      <c r="A19" s="4" t="inlineStr">
        <is>
          <t>F18</t>
        </is>
      </c>
      <c r="B19" s="4" t="inlineStr">
        <is>
          <t>Génération des séances et vues planning</t>
        </is>
      </c>
      <c r="C19" s="4" t="inlineStr">
        <is>
          <t>R2</t>
        </is>
      </c>
      <c r="D19" s="4" t="inlineStr">
        <is>
          <t>PLA-03, PLA-04</t>
        </is>
      </c>
      <c r="E19" s="4" t="n">
        <v>2</v>
      </c>
      <c r="F19" s="4" t="inlineStr">
        <is>
          <t>Waiting</t>
        </is>
      </c>
      <c r="G19" s="4" t="n"/>
      <c r="H19" s="17" t="n"/>
      <c r="I19" s="17" t="n"/>
      <c r="J19" s="17" t="n"/>
      <c r="K19" s="17" t="n"/>
      <c r="L19" s="17" t="n"/>
      <c r="M19" s="17" t="n"/>
      <c r="N19" s="4">
        <f>IF(AND(H19&lt;&gt;"",M19&lt;&gt;""),M19-H19,"")</f>
        <v/>
      </c>
      <c r="O19" s="17" t="n"/>
      <c r="P19" s="4">
        <f>IF(AND(M19&lt;&gt;"",O19&lt;&gt;""),O19-M19,"")</f>
        <v/>
      </c>
      <c r="Q19" s="4" t="n"/>
    </row>
    <row r="20">
      <c r="A20" s="4" t="inlineStr">
        <is>
          <t>F19</t>
        </is>
      </c>
      <c r="B20" s="4" t="inlineStr">
        <is>
          <t>Séance ponctuelle, remplacement, horaires spéciaux</t>
        </is>
      </c>
      <c r="C20" s="4" t="inlineStr">
        <is>
          <t>R2</t>
        </is>
      </c>
      <c r="D20" s="4" t="inlineStr">
        <is>
          <t>PLA-07, PLA-08, PLA-09</t>
        </is>
      </c>
      <c r="E20" s="4" t="n">
        <v>3</v>
      </c>
      <c r="F20" s="4" t="inlineStr">
        <is>
          <t>Waiting</t>
        </is>
      </c>
      <c r="G20" s="4" t="n"/>
      <c r="H20" s="17" t="n"/>
      <c r="I20" s="17" t="n"/>
      <c r="J20" s="17" t="n"/>
      <c r="K20" s="17" t="n"/>
      <c r="L20" s="17" t="n"/>
      <c r="M20" s="17" t="n"/>
      <c r="N20" s="4">
        <f>IF(AND(H20&lt;&gt;"",M20&lt;&gt;""),M20-H20,"")</f>
        <v/>
      </c>
      <c r="O20" s="17" t="n"/>
      <c r="P20" s="4">
        <f>IF(AND(M20&lt;&gt;"",O20&lt;&gt;""),O20-M20,"")</f>
        <v/>
      </c>
      <c r="Q20" s="4" t="n"/>
    </row>
    <row r="21">
      <c r="A21" s="4" t="inlineStr">
        <is>
          <t>F20</t>
        </is>
      </c>
      <c r="B21" s="4" t="inlineStr">
        <is>
          <t>Planning du coach et feuille d'appel</t>
        </is>
      </c>
      <c r="C21" s="4" t="inlineStr">
        <is>
          <t>R2</t>
        </is>
      </c>
      <c r="D21" s="4" t="inlineStr">
        <is>
          <t>COA-03, APC-01, GRP-06</t>
        </is>
      </c>
      <c r="E21" s="4" t="n">
        <v>3</v>
      </c>
      <c r="F21" s="4" t="inlineStr">
        <is>
          <t>Waiting</t>
        </is>
      </c>
      <c r="G21" s="4" t="n"/>
      <c r="H21" s="17" t="n"/>
      <c r="I21" s="17" t="n"/>
      <c r="J21" s="17" t="n"/>
      <c r="K21" s="17" t="n"/>
      <c r="L21" s="17" t="n"/>
      <c r="M21" s="17" t="n"/>
      <c r="N21" s="4">
        <f>IF(AND(H21&lt;&gt;"",M21&lt;&gt;""),M21-H21,"")</f>
        <v/>
      </c>
      <c r="O21" s="17" t="n"/>
      <c r="P21" s="4">
        <f>IF(AND(M21&lt;&gt;"",O21&lt;&gt;""),O21-M21,"")</f>
        <v/>
      </c>
      <c r="Q21" s="4" t="n"/>
    </row>
    <row r="22">
      <c r="A22" s="4" t="inlineStr">
        <is>
          <t>F21</t>
        </is>
      </c>
      <c r="B22" s="4" t="inlineStr">
        <is>
          <t>Planning publiable</t>
        </is>
      </c>
      <c r="C22" s="4" t="inlineStr">
        <is>
          <t>R2</t>
        </is>
      </c>
      <c r="D22" s="4" t="inlineStr">
        <is>
          <t>PLA-10</t>
        </is>
      </c>
      <c r="E22" s="4" t="n">
        <v>1</v>
      </c>
      <c r="F22" s="4" t="inlineStr">
        <is>
          <t>Waiting</t>
        </is>
      </c>
      <c r="G22" s="4" t="n"/>
      <c r="H22" s="17" t="n"/>
      <c r="I22" s="17" t="n"/>
      <c r="J22" s="17" t="n"/>
      <c r="K22" s="17" t="n"/>
      <c r="L22" s="17" t="n"/>
      <c r="M22" s="17" t="n"/>
      <c r="N22" s="4">
        <f>IF(AND(H22&lt;&gt;"",M22&lt;&gt;""),M22-H22,"")</f>
        <v/>
      </c>
      <c r="O22" s="17" t="n"/>
      <c r="P22" s="4">
        <f>IF(AND(M22&lt;&gt;"",O22&lt;&gt;""),O22-M22,"")</f>
        <v/>
      </c>
      <c r="Q22" s="4" t="n"/>
    </row>
    <row r="23">
      <c r="A23" s="4" t="inlineStr">
        <is>
          <t>F22</t>
        </is>
      </c>
      <c r="B23" s="4" t="inlineStr">
        <is>
          <t>Cours d'essai</t>
        </is>
      </c>
      <c r="C23" s="4" t="inlineStr">
        <is>
          <t>R2</t>
        </is>
      </c>
      <c r="D23" s="4" t="inlineStr">
        <is>
          <t>RES-01</t>
        </is>
      </c>
      <c r="E23" s="4" t="n">
        <v>1</v>
      </c>
      <c r="F23" s="4" t="inlineStr">
        <is>
          <t>Waiting</t>
        </is>
      </c>
      <c r="G23" s="4" t="n"/>
      <c r="H23" s="17" t="n"/>
      <c r="I23" s="17" t="n"/>
      <c r="J23" s="17" t="n"/>
      <c r="K23" s="17" t="n"/>
      <c r="L23" s="17" t="n"/>
      <c r="M23" s="17" t="n"/>
      <c r="N23" s="4">
        <f>IF(AND(H23&lt;&gt;"",M23&lt;&gt;""),M23-H23,"")</f>
        <v/>
      </c>
      <c r="O23" s="17" t="n"/>
      <c r="P23" s="4">
        <f>IF(AND(M23&lt;&gt;"",O23&lt;&gt;""),O23-M23,"")</f>
        <v/>
      </c>
      <c r="Q23" s="4" t="n"/>
    </row>
    <row r="24">
      <c r="A24" s="4" t="inlineStr">
        <is>
          <t>F23</t>
        </is>
      </c>
      <c r="B24" s="4" t="inlineStr">
        <is>
          <t>Cours privé et adhérent adulte</t>
        </is>
      </c>
      <c r="C24" s="4" t="inlineStr">
        <is>
          <t>R2</t>
        </is>
      </c>
      <c r="D24" s="4" t="inlineStr">
        <is>
          <t>RES-06, FAM-09</t>
        </is>
      </c>
      <c r="E24" s="4" t="n">
        <v>2</v>
      </c>
      <c r="F24" s="4" t="inlineStr">
        <is>
          <t>Waiting</t>
        </is>
      </c>
      <c r="G24" s="4" t="n"/>
      <c r="H24" s="17" t="n"/>
      <c r="I24" s="17" t="n"/>
      <c r="J24" s="17" t="n"/>
      <c r="K24" s="17" t="n"/>
      <c r="L24" s="17" t="n"/>
      <c r="M24" s="17" t="n"/>
      <c r="N24" s="4">
        <f>IF(AND(H24&lt;&gt;"",M24&lt;&gt;""),M24-H24,"")</f>
        <v/>
      </c>
      <c r="O24" s="17" t="n"/>
      <c r="P24" s="4">
        <f>IF(AND(M24&lt;&gt;"",O24&lt;&gt;""),O24-M24,"")</f>
        <v/>
      </c>
      <c r="Q24" s="4" t="n"/>
    </row>
    <row r="25">
      <c r="A25" s="4" t="inlineStr">
        <is>
          <t>F24</t>
        </is>
      </c>
      <c r="B25" s="4" t="inlineStr">
        <is>
          <t>Résiliation et changement d'activité</t>
        </is>
      </c>
      <c r="C25" s="4" t="inlineStr">
        <is>
          <t>R2</t>
        </is>
      </c>
      <c r="D25" s="4" t="inlineStr">
        <is>
          <t>INS-07, INS-08</t>
        </is>
      </c>
      <c r="E25" s="4" t="n">
        <v>2</v>
      </c>
      <c r="F25" s="4" t="inlineStr">
        <is>
          <t>Waiting</t>
        </is>
      </c>
      <c r="G25" s="4" t="n"/>
      <c r="H25" s="17" t="n"/>
      <c r="I25" s="17" t="n"/>
      <c r="J25" s="17" t="n"/>
      <c r="K25" s="17" t="n"/>
      <c r="L25" s="17" t="n"/>
      <c r="M25" s="17" t="n"/>
      <c r="N25" s="4">
        <f>IF(AND(H25&lt;&gt;"",M25&lt;&gt;""),M25-H25,"")</f>
        <v/>
      </c>
      <c r="O25" s="17" t="n"/>
      <c r="P25" s="4">
        <f>IF(AND(M25&lt;&gt;"",O25&lt;&gt;""),O25-M25,"")</f>
        <v/>
      </c>
      <c r="Q25" s="4" t="n"/>
    </row>
    <row r="26">
      <c r="A26" s="4" t="inlineStr">
        <is>
          <t>F25</t>
        </is>
      </c>
      <c r="B26" s="4" t="inlineStr">
        <is>
          <t>Gouvernance de l'offre et duplication de saison</t>
        </is>
      </c>
      <c r="C26" s="4" t="inlineStr">
        <is>
          <t>R2</t>
        </is>
      </c>
      <c r="D26" s="4" t="inlineStr">
        <is>
          <t>OFR-06, OFR-07, OFR-08</t>
        </is>
      </c>
      <c r="E26" s="4" t="n">
        <v>3</v>
      </c>
      <c r="F26" s="4" t="inlineStr">
        <is>
          <t>Waiting</t>
        </is>
      </c>
      <c r="G26" s="4" t="n"/>
      <c r="H26" s="17" t="n"/>
      <c r="I26" s="17" t="n"/>
      <c r="J26" s="17" t="n"/>
      <c r="K26" s="17" t="n"/>
      <c r="L26" s="17" t="n"/>
      <c r="M26" s="17" t="n"/>
      <c r="N26" s="4">
        <f>IF(AND(H26&lt;&gt;"",M26&lt;&gt;""),M26-H26,"")</f>
        <v/>
      </c>
      <c r="O26" s="17" t="n"/>
      <c r="P26" s="4">
        <f>IF(AND(M26&lt;&gt;"",O26&lt;&gt;""),O26-M26,"")</f>
        <v/>
      </c>
      <c r="Q26" s="4" t="n"/>
    </row>
    <row r="27">
      <c r="A27" s="4" t="inlineStr">
        <is>
          <t>F26</t>
        </is>
      </c>
      <c r="B27" s="4" t="inlineStr">
        <is>
          <t>Moteur de notifications et connecteur messagerie</t>
        </is>
      </c>
      <c r="C27" s="4" t="inlineStr">
        <is>
          <t>R3</t>
        </is>
      </c>
      <c r="D27" s="4" t="inlineStr">
        <is>
          <t>NOT-01, NOT-02, NOT-06, NOT-07, INT-01</t>
        </is>
      </c>
      <c r="E27" s="4" t="n">
        <v>5</v>
      </c>
      <c r="F27" s="4" t="inlineStr">
        <is>
          <t>Waiting</t>
        </is>
      </c>
      <c r="G27" s="4" t="n"/>
      <c r="H27" s="17" t="n"/>
      <c r="I27" s="17" t="n"/>
      <c r="J27" s="17" t="n"/>
      <c r="K27" s="17" t="n"/>
      <c r="L27" s="17" t="n"/>
      <c r="M27" s="17" t="n"/>
      <c r="N27" s="4">
        <f>IF(AND(H27&lt;&gt;"",M27&lt;&gt;""),M27-H27,"")</f>
        <v/>
      </c>
      <c r="O27" s="17" t="n"/>
      <c r="P27" s="4">
        <f>IF(AND(M27&lt;&gt;"",O27&lt;&gt;""),O27-M27,"")</f>
        <v/>
      </c>
      <c r="Q27" s="4" t="n"/>
    </row>
    <row r="28">
      <c r="A28" s="4" t="inlineStr">
        <is>
          <t>F27</t>
        </is>
      </c>
      <c r="B28" s="4" t="inlineStr">
        <is>
          <t>Règles financières et alertes d'expiration</t>
        </is>
      </c>
      <c r="C28" s="4" t="inlineStr">
        <is>
          <t>R3</t>
        </is>
      </c>
      <c r="D28" s="4" t="inlineStr">
        <is>
          <t>NOT-03, NOT-08, INS-09</t>
        </is>
      </c>
      <c r="E28" s="4" t="n">
        <v>3</v>
      </c>
      <c r="F28" s="4" t="inlineStr">
        <is>
          <t>Waiting</t>
        </is>
      </c>
      <c r="G28" s="4" t="n"/>
      <c r="H28" s="17" t="n"/>
      <c r="I28" s="17" t="n"/>
      <c r="J28" s="17" t="n"/>
      <c r="K28" s="17" t="n"/>
      <c r="L28" s="17" t="n"/>
      <c r="M28" s="17" t="n"/>
      <c r="N28" s="4">
        <f>IF(AND(H28&lt;&gt;"",M28&lt;&gt;""),M28-H28,"")</f>
        <v/>
      </c>
      <c r="O28" s="17" t="n"/>
      <c r="P28" s="4">
        <f>IF(AND(M28&lt;&gt;"",O28&lt;&gt;""),O28-M28,"")</f>
        <v/>
      </c>
      <c r="Q28" s="4" t="n"/>
    </row>
    <row r="29">
      <c r="A29" s="4" t="inlineStr">
        <is>
          <t>F28</t>
        </is>
      </c>
      <c r="B29" s="4" t="inlineStr">
        <is>
          <t>Règles planning, annulation et report</t>
        </is>
      </c>
      <c r="C29" s="4" t="inlineStr">
        <is>
          <t>R3</t>
        </is>
      </c>
      <c r="D29" s="4" t="inlineStr">
        <is>
          <t>NOT-04, PLA-06</t>
        </is>
      </c>
      <c r="E29" s="4" t="n">
        <v>2</v>
      </c>
      <c r="F29" s="4" t="inlineStr">
        <is>
          <t>Waiting</t>
        </is>
      </c>
      <c r="G29" s="4" t="n"/>
      <c r="H29" s="17" t="n"/>
      <c r="I29" s="17" t="n"/>
      <c r="J29" s="17" t="n"/>
      <c r="K29" s="17" t="n"/>
      <c r="L29" s="17" t="n"/>
      <c r="M29" s="17" t="n"/>
      <c r="N29" s="4">
        <f>IF(AND(H29&lt;&gt;"",M29&lt;&gt;""),M29-H29,"")</f>
        <v/>
      </c>
      <c r="O29" s="17" t="n"/>
      <c r="P29" s="4">
        <f>IF(AND(M29&lt;&gt;"",O29&lt;&gt;""),O29-M29,"")</f>
        <v/>
      </c>
      <c r="Q29" s="4" t="n"/>
    </row>
    <row r="30">
      <c r="A30" s="4" t="inlineStr">
        <is>
          <t>F29</t>
        </is>
      </c>
      <c r="B30" s="4" t="inlineStr">
        <is>
          <t>Message ciblé, historique et annonce de masse</t>
        </is>
      </c>
      <c r="C30" s="4" t="inlineStr">
        <is>
          <t>R3</t>
        </is>
      </c>
      <c r="D30" s="4" t="inlineStr">
        <is>
          <t>COM-01, COM-02, EVT-08</t>
        </is>
      </c>
      <c r="E30" s="4" t="n">
        <v>3</v>
      </c>
      <c r="F30" s="4" t="inlineStr">
        <is>
          <t>Waiting</t>
        </is>
      </c>
      <c r="G30" s="4" t="n"/>
      <c r="H30" s="17" t="n"/>
      <c r="I30" s="17" t="n"/>
      <c r="J30" s="17" t="n"/>
      <c r="K30" s="17" t="n"/>
      <c r="L30" s="17" t="n"/>
      <c r="M30" s="17" t="n"/>
      <c r="N30" s="4">
        <f>IF(AND(H30&lt;&gt;"",M30&lt;&gt;""),M30-H30,"")</f>
        <v/>
      </c>
      <c r="O30" s="17" t="n"/>
      <c r="P30" s="4">
        <f>IF(AND(M30&lt;&gt;"",O30&lt;&gt;""),O30-M30,"")</f>
        <v/>
      </c>
      <c r="Q30" s="4" t="n"/>
    </row>
    <row r="31">
      <c r="A31" s="4" t="inlineStr">
        <is>
          <t>F30</t>
        </is>
      </c>
      <c r="B31" s="4" t="inlineStr">
        <is>
          <t>Relances d'impayés et promesse de paiement</t>
        </is>
      </c>
      <c r="C31" s="4" t="inlineStr">
        <is>
          <t>R3</t>
        </is>
      </c>
      <c r="D31" s="4" t="inlineStr">
        <is>
          <t>IMP-02, IMP-03</t>
        </is>
      </c>
      <c r="E31" s="4" t="n">
        <v>2</v>
      </c>
      <c r="F31" s="4" t="inlineStr">
        <is>
          <t>Waiting</t>
        </is>
      </c>
      <c r="G31" s="4" t="n"/>
      <c r="H31" s="17" t="n"/>
      <c r="I31" s="17" t="n"/>
      <c r="J31" s="17" t="n"/>
      <c r="K31" s="17" t="n"/>
      <c r="L31" s="17" t="n"/>
      <c r="M31" s="17" t="n"/>
      <c r="N31" s="4">
        <f>IF(AND(H31&lt;&gt;"",M31&lt;&gt;""),M31-H31,"")</f>
        <v/>
      </c>
      <c r="O31" s="17" t="n"/>
      <c r="P31" s="4">
        <f>IF(AND(M31&lt;&gt;"",O31&lt;&gt;""),O31-M31,"")</f>
        <v/>
      </c>
      <c r="Q31" s="4" t="n"/>
    </row>
    <row r="32">
      <c r="A32" s="4" t="inlineStr">
        <is>
          <t>F31</t>
        </is>
      </c>
      <c r="B32" s="4" t="inlineStr">
        <is>
          <t>Renouvellement de formule courte</t>
        </is>
      </c>
      <c r="C32" s="4" t="inlineStr">
        <is>
          <t>R3</t>
        </is>
      </c>
      <c r="D32" s="4" t="inlineStr">
        <is>
          <t>INS-04</t>
        </is>
      </c>
      <c r="E32" s="4" t="n">
        <v>1</v>
      </c>
      <c r="F32" s="4" t="inlineStr">
        <is>
          <t>Waiting</t>
        </is>
      </c>
      <c r="G32" s="4" t="n"/>
      <c r="H32" s="17" t="n"/>
      <c r="I32" s="17" t="n"/>
      <c r="J32" s="17" t="n"/>
      <c r="K32" s="17" t="n"/>
      <c r="L32" s="17" t="n"/>
      <c r="M32" s="17" t="n"/>
      <c r="N32" s="4">
        <f>IF(AND(H32&lt;&gt;"",M32&lt;&gt;""),M32-H32,"")</f>
        <v/>
      </c>
      <c r="O32" s="17" t="n"/>
      <c r="P32" s="4">
        <f>IF(AND(M32&lt;&gt;"",O32&lt;&gt;""),O32-M32,"")</f>
        <v/>
      </c>
      <c r="Q32" s="4" t="n"/>
    </row>
    <row r="33">
      <c r="A33" s="4" t="inlineStr">
        <is>
          <t>F32</t>
        </is>
      </c>
      <c r="B33" s="4" t="inlineStr">
        <is>
          <t>Cérémonie de fin d'année</t>
        </is>
      </c>
      <c r="C33" s="4" t="inlineStr">
        <is>
          <t>R3</t>
        </is>
      </c>
      <c r="D33" s="4" t="inlineStr">
        <is>
          <t>EVT-06</t>
        </is>
      </c>
      <c r="E33" s="4" t="n">
        <v>1</v>
      </c>
      <c r="F33" s="4" t="inlineStr">
        <is>
          <t>Waiting</t>
        </is>
      </c>
      <c r="G33" s="4" t="n"/>
      <c r="H33" s="17" t="n"/>
      <c r="I33" s="17" t="n"/>
      <c r="J33" s="17" t="n"/>
      <c r="K33" s="17" t="n"/>
      <c r="L33" s="17" t="n"/>
      <c r="M33" s="17" t="n"/>
      <c r="N33" s="4">
        <f>IF(AND(H33&lt;&gt;"",M33&lt;&gt;""),M33-H33,"")</f>
        <v/>
      </c>
      <c r="O33" s="17" t="n"/>
      <c r="P33" s="4">
        <f>IF(AND(M33&lt;&gt;"",O33&lt;&gt;""),O33-M33,"")</f>
        <v/>
      </c>
      <c r="Q33" s="4" t="n"/>
    </row>
    <row r="34">
      <c r="A34" s="4" t="inlineStr">
        <is>
          <t>F33</t>
        </is>
      </c>
      <c r="B34" s="4" t="inlineStr">
        <is>
          <t>Tableau de bord inscriptions et finances</t>
        </is>
      </c>
      <c r="C34" s="4" t="inlineStr">
        <is>
          <t>R3</t>
        </is>
      </c>
      <c r="D34" s="4" t="inlineStr">
        <is>
          <t>REP-02, REP-03, REP-05</t>
        </is>
      </c>
      <c r="E34" s="4" t="n">
        <v>3</v>
      </c>
      <c r="F34" s="4" t="inlineStr">
        <is>
          <t>Waiting</t>
        </is>
      </c>
      <c r="G34" s="4" t="n"/>
      <c r="H34" s="17" t="n"/>
      <c r="I34" s="17" t="n"/>
      <c r="J34" s="17" t="n"/>
      <c r="K34" s="17" t="n"/>
      <c r="L34" s="17" t="n"/>
      <c r="M34" s="17" t="n"/>
      <c r="N34" s="4">
        <f>IF(AND(H34&lt;&gt;"",M34&lt;&gt;""),M34-H34,"")</f>
        <v/>
      </c>
      <c r="O34" s="17" t="n"/>
      <c r="P34" s="4">
        <f>IF(AND(M34&lt;&gt;"",O34&lt;&gt;""),O34-M34,"")</f>
        <v/>
      </c>
      <c r="Q34" s="4" t="n"/>
    </row>
    <row r="35">
      <c r="A35" s="4" t="inlineStr">
        <is>
          <t>F34</t>
        </is>
      </c>
      <c r="B35" s="4" t="inlineStr">
        <is>
          <t>Exports comptables et clôture de période</t>
        </is>
      </c>
      <c r="C35" s="4" t="inlineStr">
        <is>
          <t>R3</t>
        </is>
      </c>
      <c r="D35" s="4" t="inlineStr">
        <is>
          <t>CPT-01, CPT-03, CPT-04</t>
        </is>
      </c>
      <c r="E35" s="4" t="n">
        <v>3</v>
      </c>
      <c r="F35" s="4" t="inlineStr">
        <is>
          <t>Waiting</t>
        </is>
      </c>
      <c r="G35" s="4" t="n"/>
      <c r="H35" s="17" t="n"/>
      <c r="I35" s="17" t="n"/>
      <c r="J35" s="17" t="n"/>
      <c r="K35" s="17" t="n"/>
      <c r="L35" s="17" t="n"/>
      <c r="M35" s="17" t="n"/>
      <c r="N35" s="4">
        <f>IF(AND(H35&lt;&gt;"",M35&lt;&gt;""),M35-H35,"")</f>
        <v/>
      </c>
      <c r="O35" s="17" t="n"/>
      <c r="P35" s="4">
        <f>IF(AND(M35&lt;&gt;"",O35&lt;&gt;""),O35-M35,"")</f>
        <v/>
      </c>
      <c r="Q35" s="4" t="n"/>
    </row>
    <row r="36">
      <c r="A36" s="4" t="inlineStr">
        <is>
          <t>F35</t>
        </is>
      </c>
      <c r="B36" s="4" t="inlineStr">
        <is>
          <t>Appel par le coach</t>
        </is>
      </c>
      <c r="C36" s="4" t="inlineStr">
        <is>
          <t>R4</t>
        </is>
      </c>
      <c r="D36" s="4" t="inlineStr">
        <is>
          <t>PRE-01, APC-02, APC-03, PRE-08</t>
        </is>
      </c>
      <c r="E36" s="4" t="n">
        <v>4</v>
      </c>
      <c r="F36" s="4" t="inlineStr">
        <is>
          <t>Waiting</t>
        </is>
      </c>
      <c r="G36" s="4" t="n"/>
      <c r="H36" s="17" t="n"/>
      <c r="I36" s="17" t="n"/>
      <c r="J36" s="17" t="n"/>
      <c r="K36" s="17" t="n"/>
      <c r="L36" s="17" t="n"/>
      <c r="M36" s="17" t="n"/>
      <c r="N36" s="4">
        <f>IF(AND(H36&lt;&gt;"",M36&lt;&gt;""),M36-H36,"")</f>
        <v/>
      </c>
      <c r="O36" s="17" t="n"/>
      <c r="P36" s="4">
        <f>IF(AND(M36&lt;&gt;"",O36&lt;&gt;""),O36-M36,"")</f>
        <v/>
      </c>
      <c r="Q36" s="4" t="n"/>
    </row>
    <row r="37">
      <c r="A37" s="4" t="inlineStr">
        <is>
          <t>F36</t>
        </is>
      </c>
      <c r="B37" s="4" t="inlineStr">
        <is>
          <t>Pointage accueil et statut administratif</t>
        </is>
      </c>
      <c r="C37" s="4" t="inlineStr">
        <is>
          <t>R4</t>
        </is>
      </c>
      <c r="D37" s="4" t="inlineStr">
        <is>
          <t>PRE-02, PRE-03, IMP-05</t>
        </is>
      </c>
      <c r="E37" s="4" t="n">
        <v>3</v>
      </c>
      <c r="F37" s="4" t="inlineStr">
        <is>
          <t>Waiting</t>
        </is>
      </c>
      <c r="G37" s="4" t="n"/>
      <c r="H37" s="17" t="n"/>
      <c r="I37" s="17" t="n"/>
      <c r="J37" s="17" t="n"/>
      <c r="K37" s="17" t="n"/>
      <c r="L37" s="17" t="n"/>
      <c r="M37" s="17" t="n"/>
      <c r="N37" s="4">
        <f>IF(AND(H37&lt;&gt;"",M37&lt;&gt;""),M37-H37,"")</f>
        <v/>
      </c>
      <c r="O37" s="17" t="n"/>
      <c r="P37" s="4">
        <f>IF(AND(M37&lt;&gt;"",O37&lt;&gt;""),O37-M37,"")</f>
        <v/>
      </c>
      <c r="Q37" s="4" t="n"/>
    </row>
    <row r="38">
      <c r="A38" s="4" t="inlineStr">
        <is>
          <t>F37</t>
        </is>
      </c>
      <c r="B38" s="4" t="inlineStr">
        <is>
          <t>Débit des carnets au pointage</t>
        </is>
      </c>
      <c r="C38" s="4" t="inlineStr">
        <is>
          <t>R4</t>
        </is>
      </c>
      <c r="D38" s="4" t="inlineStr">
        <is>
          <t>RES-04</t>
        </is>
      </c>
      <c r="E38" s="4" t="n">
        <v>1</v>
      </c>
      <c r="F38" s="4" t="inlineStr">
        <is>
          <t>Waiting</t>
        </is>
      </c>
      <c r="G38" s="4" t="n"/>
      <c r="H38" s="17" t="n"/>
      <c r="I38" s="17" t="n"/>
      <c r="J38" s="17" t="n"/>
      <c r="K38" s="17" t="n"/>
      <c r="L38" s="17" t="n"/>
      <c r="M38" s="17" t="n"/>
      <c r="N38" s="4">
        <f>IF(AND(H38&lt;&gt;"",M38&lt;&gt;""),M38-H38,"")</f>
        <v/>
      </c>
      <c r="O38" s="17" t="n"/>
      <c r="P38" s="4">
        <f>IF(AND(M38&lt;&gt;"",O38&lt;&gt;""),O38-M38,"")</f>
        <v/>
      </c>
      <c r="Q38" s="4" t="n"/>
    </row>
    <row r="39">
      <c r="A39" s="4" t="inlineStr">
        <is>
          <t>F38</t>
        </is>
      </c>
      <c r="B39" s="4" t="inlineStr">
        <is>
          <t>Vue temps réel et tableau de bord opérationnel</t>
        </is>
      </c>
      <c r="C39" s="4" t="inlineStr">
        <is>
          <t>R4</t>
        </is>
      </c>
      <c r="D39" s="4" t="inlineStr">
        <is>
          <t>PRE-04, REP-01</t>
        </is>
      </c>
      <c r="E39" s="4" t="n">
        <v>2</v>
      </c>
      <c r="F39" s="4" t="inlineStr">
        <is>
          <t>Waiting</t>
        </is>
      </c>
      <c r="G39" s="4" t="n"/>
      <c r="H39" s="17" t="n"/>
      <c r="I39" s="17" t="n"/>
      <c r="J39" s="17" t="n"/>
      <c r="K39" s="17" t="n"/>
      <c r="L39" s="17" t="n"/>
      <c r="M39" s="17" t="n"/>
      <c r="N39" s="4">
        <f>IF(AND(H39&lt;&gt;"",M39&lt;&gt;""),M39-H39,"")</f>
        <v/>
      </c>
      <c r="O39" s="17" t="n"/>
      <c r="P39" s="4">
        <f>IF(AND(M39&lt;&gt;"",O39&lt;&gt;""),O39-M39,"")</f>
        <v/>
      </c>
      <c r="Q39" s="4" t="n"/>
    </row>
    <row r="40">
      <c r="A40" s="4" t="inlineStr">
        <is>
          <t>F39</t>
        </is>
      </c>
      <c r="B40" s="4" t="inlineStr">
        <is>
          <t>Historique, assiduité et séances réalisées</t>
        </is>
      </c>
      <c r="C40" s="4" t="inlineStr">
        <is>
          <t>R4</t>
        </is>
      </c>
      <c r="D40" s="4" t="inlineStr">
        <is>
          <t>PRE-07, COA-04</t>
        </is>
      </c>
      <c r="E40" s="4" t="n">
        <v>2</v>
      </c>
      <c r="F40" s="4" t="inlineStr">
        <is>
          <t>Waiting</t>
        </is>
      </c>
      <c r="G40" s="4" t="n"/>
      <c r="H40" s="17" t="n"/>
      <c r="I40" s="17" t="n"/>
      <c r="J40" s="17" t="n"/>
      <c r="K40" s="17" t="n"/>
      <c r="L40" s="17" t="n"/>
      <c r="M40" s="17" t="n"/>
      <c r="N40" s="4">
        <f>IF(AND(H40&lt;&gt;"",M40&lt;&gt;""),M40-H40,"")</f>
        <v/>
      </c>
      <c r="O40" s="17" t="n"/>
      <c r="P40" s="4">
        <f>IF(AND(M40&lt;&gt;"",O40&lt;&gt;""),O40-M40,"")</f>
        <v/>
      </c>
      <c r="Q40" s="4" t="n"/>
    </row>
    <row r="41">
      <c r="A41" s="4" t="inlineStr">
        <is>
          <t>F40</t>
        </is>
      </c>
      <c r="B41" s="4" t="inlineStr">
        <is>
          <t>Sortie de l'enfant</t>
        </is>
      </c>
      <c r="C41" s="4" t="inlineStr">
        <is>
          <t>R4</t>
        </is>
      </c>
      <c r="D41" s="4" t="inlineStr">
        <is>
          <t>PRE-06</t>
        </is>
      </c>
      <c r="E41" s="4" t="n">
        <v>1</v>
      </c>
      <c r="F41" s="4" t="inlineStr">
        <is>
          <t>Waiting</t>
        </is>
      </c>
      <c r="G41" s="4" t="n"/>
      <c r="H41" s="17" t="n"/>
      <c r="I41" s="17" t="n"/>
      <c r="J41" s="17" t="n"/>
      <c r="K41" s="17" t="n"/>
      <c r="L41" s="17" t="n"/>
      <c r="M41" s="17" t="n"/>
      <c r="N41" s="4">
        <f>IF(AND(H41&lt;&gt;"",M41&lt;&gt;""),M41-H41,"")</f>
        <v/>
      </c>
      <c r="O41" s="17" t="n"/>
      <c r="P41" s="4">
        <f>IF(AND(M41&lt;&gt;"",O41&lt;&gt;""),O41-M41,"")</f>
        <v/>
      </c>
      <c r="Q41" s="4" t="n"/>
    </row>
    <row r="42">
      <c r="A42" s="4" t="inlineStr">
        <is>
          <t>F41</t>
        </is>
      </c>
      <c r="B42" s="4" t="inlineStr">
        <is>
          <t>Règles de notification sur la présence</t>
        </is>
      </c>
      <c r="C42" s="4" t="inlineStr">
        <is>
          <t>R4</t>
        </is>
      </c>
      <c r="D42" s="4" t="inlineStr">
        <is>
          <t>NOT-05</t>
        </is>
      </c>
      <c r="E42" s="4" t="n">
        <v>1</v>
      </c>
      <c r="F42" s="4" t="inlineStr">
        <is>
          <t>Waiting</t>
        </is>
      </c>
      <c r="G42" s="4" t="n"/>
      <c r="H42" s="17" t="n"/>
      <c r="I42" s="17" t="n"/>
      <c r="J42" s="17" t="n"/>
      <c r="K42" s="17" t="n"/>
      <c r="L42" s="17" t="n"/>
      <c r="M42" s="17" t="n"/>
      <c r="N42" s="4">
        <f>IF(AND(H42&lt;&gt;"",M42&lt;&gt;""),M42-H42,"")</f>
        <v/>
      </c>
      <c r="O42" s="17" t="n"/>
      <c r="P42" s="4">
        <f>IF(AND(M42&lt;&gt;"",O42&lt;&gt;""),O42-M42,"")</f>
        <v/>
      </c>
      <c r="Q42" s="4" t="n"/>
    </row>
    <row r="43">
      <c r="A43" s="4" t="inlineStr">
        <is>
          <t>F42</t>
        </is>
      </c>
      <c r="B43" s="4" t="inlineStr">
        <is>
          <t>Droits des personnes et durées de conservation</t>
        </is>
      </c>
      <c r="C43" s="4" t="inlineStr">
        <is>
          <t>R4</t>
        </is>
      </c>
      <c r="D43" s="4" t="inlineStr">
        <is>
          <t>SEC-05, SEC-06</t>
        </is>
      </c>
      <c r="E43" s="4" t="n">
        <v>2</v>
      </c>
      <c r="F43" s="4" t="inlineStr">
        <is>
          <t>Waiting</t>
        </is>
      </c>
      <c r="G43" s="4" t="n"/>
      <c r="H43" s="17" t="n"/>
      <c r="I43" s="17" t="n"/>
      <c r="J43" s="17" t="n"/>
      <c r="K43" s="17" t="n"/>
      <c r="L43" s="17" t="n"/>
      <c r="M43" s="17" t="n"/>
      <c r="N43" s="4">
        <f>IF(AND(H43&lt;&gt;"",M43&lt;&gt;""),M43-H43,"")</f>
        <v/>
      </c>
      <c r="O43" s="17" t="n"/>
      <c r="P43" s="4">
        <f>IF(AND(M43&lt;&gt;"",O43&lt;&gt;""),O43-M43,"")</f>
        <v/>
      </c>
      <c r="Q43" s="4" t="n"/>
    </row>
    <row r="44">
      <c r="A44" s="4" t="inlineStr">
        <is>
          <t>F43</t>
        </is>
      </c>
      <c r="B44" s="4" t="inlineStr">
        <is>
          <t>Modèles de rémunération</t>
        </is>
      </c>
      <c r="C44" s="4" t="inlineStr">
        <is>
          <t>R5</t>
        </is>
      </c>
      <c r="D44" s="4" t="inlineStr">
        <is>
          <t>REM-01</t>
        </is>
      </c>
      <c r="E44" s="4" t="n">
        <v>1</v>
      </c>
      <c r="F44" s="4" t="inlineStr">
        <is>
          <t>Waiting</t>
        </is>
      </c>
      <c r="G44" s="4" t="n"/>
      <c r="H44" s="17" t="n"/>
      <c r="I44" s="17" t="n"/>
      <c r="J44" s="17" t="n"/>
      <c r="K44" s="17" t="n"/>
      <c r="L44" s="17" t="n"/>
      <c r="M44" s="17" t="n"/>
      <c r="N44" s="4">
        <f>IF(AND(H44&lt;&gt;"",M44&lt;&gt;""),M44-H44,"")</f>
        <v/>
      </c>
      <c r="O44" s="17" t="n"/>
      <c r="P44" s="4">
        <f>IF(AND(M44&lt;&gt;"",O44&lt;&gt;""),O44-M44,"")</f>
        <v/>
      </c>
      <c r="Q44" s="4" t="n"/>
    </row>
    <row r="45">
      <c r="A45" s="4" t="inlineStr">
        <is>
          <t>F44</t>
        </is>
      </c>
      <c r="B45" s="4" t="inlineStr">
        <is>
          <t>État mensuel, avances et paiement de la rémunération</t>
        </is>
      </c>
      <c r="C45" s="4" t="inlineStr">
        <is>
          <t>R5</t>
        </is>
      </c>
      <c r="D45" s="4" t="inlineStr">
        <is>
          <t>REM-02, REM-03, REM-04, REM-05, APC-05</t>
        </is>
      </c>
      <c r="E45" s="4" t="n">
        <v>5</v>
      </c>
      <c r="F45" s="4" t="inlineStr">
        <is>
          <t>Waiting</t>
        </is>
      </c>
      <c r="G45" s="4" t="n"/>
      <c r="H45" s="17" t="n"/>
      <c r="I45" s="17" t="n"/>
      <c r="J45" s="17" t="n"/>
      <c r="K45" s="17" t="n"/>
      <c r="L45" s="17" t="n"/>
      <c r="M45" s="17" t="n"/>
      <c r="N45" s="4">
        <f>IF(AND(H45&lt;&gt;"",M45&lt;&gt;""),M45-H45,"")</f>
        <v/>
      </c>
      <c r="O45" s="17" t="n"/>
      <c r="P45" s="4">
        <f>IF(AND(M45&lt;&gt;"",O45&lt;&gt;""),O45-M45,"")</f>
        <v/>
      </c>
      <c r="Q45" s="4" t="n"/>
    </row>
    <row r="46">
      <c r="A46" s="4" t="inlineStr">
        <is>
          <t>F45</t>
        </is>
      </c>
      <c r="B46" s="4" t="inlineStr">
        <is>
          <t>Personnel, prestataires et dépenses récurrentes</t>
        </is>
      </c>
      <c r="C46" s="4" t="inlineStr">
        <is>
          <t>R5</t>
        </is>
      </c>
      <c r="D46" s="4" t="inlineStr">
        <is>
          <t>PER-01, PER-02</t>
        </is>
      </c>
      <c r="E46" s="4" t="n">
        <v>2</v>
      </c>
      <c r="F46" s="4" t="inlineStr">
        <is>
          <t>Waiting</t>
        </is>
      </c>
      <c r="G46" s="4" t="n"/>
      <c r="H46" s="17" t="n"/>
      <c r="I46" s="17" t="n"/>
      <c r="J46" s="17" t="n"/>
      <c r="K46" s="17" t="n"/>
      <c r="L46" s="17" t="n"/>
      <c r="M46" s="17" t="n"/>
      <c r="N46" s="4">
        <f>IF(AND(H46&lt;&gt;"",M46&lt;&gt;""),M46-H46,"")</f>
        <v/>
      </c>
      <c r="O46" s="17" t="n"/>
      <c r="P46" s="4">
        <f>IF(AND(M46&lt;&gt;"",O46&lt;&gt;""),O46-M46,"")</f>
        <v/>
      </c>
      <c r="Q46" s="4" t="n"/>
    </row>
    <row r="47">
      <c r="A47" s="4" t="inlineStr">
        <is>
          <t>F46</t>
        </is>
      </c>
      <c r="B47" s="4" t="inlineStr">
        <is>
          <t>Disponibilités et absences des coachs</t>
        </is>
      </c>
      <c r="C47" s="4" t="inlineStr">
        <is>
          <t>R5</t>
        </is>
      </c>
      <c r="D47" s="4" t="inlineStr">
        <is>
          <t>COA-02</t>
        </is>
      </c>
      <c r="E47" s="4" t="n">
        <v>1</v>
      </c>
      <c r="F47" s="4" t="inlineStr">
        <is>
          <t>Waiting</t>
        </is>
      </c>
      <c r="G47" s="4" t="n"/>
      <c r="H47" s="17" t="n"/>
      <c r="I47" s="17" t="n"/>
      <c r="J47" s="17" t="n"/>
      <c r="K47" s="17" t="n"/>
      <c r="L47" s="17" t="n"/>
      <c r="M47" s="17" t="n"/>
      <c r="N47" s="4">
        <f>IF(AND(H47&lt;&gt;"",M47&lt;&gt;""),M47-H47,"")</f>
        <v/>
      </c>
      <c r="O47" s="17" t="n"/>
      <c r="P47" s="4">
        <f>IF(AND(M47&lt;&gt;"",O47&lt;&gt;""),O47-M47,"")</f>
        <v/>
      </c>
      <c r="Q47" s="4" t="n"/>
    </row>
    <row r="48">
      <c r="A48" s="4" t="inlineStr">
        <is>
          <t>F47</t>
        </is>
      </c>
      <c r="B48" s="4" t="inlineStr">
        <is>
          <t>Tâches et règles d'automatisation</t>
        </is>
      </c>
      <c r="C48" s="4" t="inlineStr">
        <is>
          <t>R5</t>
        </is>
      </c>
      <c r="D48" s="4" t="inlineStr">
        <is>
          <t>PER-03, ADM-05, IMP-04</t>
        </is>
      </c>
      <c r="E48" s="4" t="n">
        <v>3</v>
      </c>
      <c r="F48" s="4" t="inlineStr">
        <is>
          <t>Waiting</t>
        </is>
      </c>
      <c r="G48" s="4" t="n"/>
      <c r="H48" s="17" t="n"/>
      <c r="I48" s="17" t="n"/>
      <c r="J48" s="17" t="n"/>
      <c r="K48" s="17" t="n"/>
      <c r="L48" s="17" t="n"/>
      <c r="M48" s="17" t="n"/>
      <c r="N48" s="4">
        <f>IF(AND(H48&lt;&gt;"",M48&lt;&gt;""),M48-H48,"")</f>
        <v/>
      </c>
      <c r="O48" s="17" t="n"/>
      <c r="P48" s="4">
        <f>IF(AND(M48&lt;&gt;"",O48&lt;&gt;""),O48-M48,"")</f>
        <v/>
      </c>
      <c r="Q48" s="4" t="n"/>
    </row>
    <row r="49">
      <c r="A49" s="4" t="inlineStr">
        <is>
          <t>F48</t>
        </is>
      </c>
      <c r="B49" s="4" t="inlineStr">
        <is>
          <t>Stock</t>
        </is>
      </c>
      <c r="C49" s="4" t="inlineStr">
        <is>
          <t>R5</t>
        </is>
      </c>
      <c r="D49" s="4" t="inlineStr">
        <is>
          <t>STK-01, STK-02, STK-03</t>
        </is>
      </c>
      <c r="E49" s="4" t="n">
        <v>3</v>
      </c>
      <c r="F49" s="4" t="inlineStr">
        <is>
          <t>Waiting</t>
        </is>
      </c>
      <c r="G49" s="4" t="n"/>
      <c r="H49" s="17" t="n"/>
      <c r="I49" s="17" t="n"/>
      <c r="J49" s="17" t="n"/>
      <c r="K49" s="17" t="n"/>
      <c r="L49" s="17" t="n"/>
      <c r="M49" s="17" t="n"/>
      <c r="N49" s="4">
        <f>IF(AND(H49&lt;&gt;"",M49&lt;&gt;""),M49-H49,"")</f>
        <v/>
      </c>
      <c r="O49" s="17" t="n"/>
      <c r="P49" s="4">
        <f>IF(AND(M49&lt;&gt;"",O49&lt;&gt;""),O49-M49,"")</f>
        <v/>
      </c>
      <c r="Q49" s="4" t="n"/>
    </row>
    <row r="50">
      <c r="A50" s="4" t="inlineStr">
        <is>
          <t>F49</t>
        </is>
      </c>
      <c r="B50" s="4" t="inlineStr">
        <is>
          <t>Retours, articles liés et codes promo</t>
        </is>
      </c>
      <c r="C50" s="4" t="inlineStr">
        <is>
          <t>R5</t>
        </is>
      </c>
      <c r="D50" s="4" t="inlineStr">
        <is>
          <t>POS-03, POS-04, TAR-07</t>
        </is>
      </c>
      <c r="E50" s="4" t="n">
        <v>3</v>
      </c>
      <c r="F50" s="4" t="inlineStr">
        <is>
          <t>Waiting</t>
        </is>
      </c>
      <c r="G50" s="4" t="n"/>
      <c r="H50" s="17" t="n"/>
      <c r="I50" s="17" t="n"/>
      <c r="J50" s="17" t="n"/>
      <c r="K50" s="17" t="n"/>
      <c r="L50" s="17" t="n"/>
      <c r="M50" s="17" t="n"/>
      <c r="N50" s="4">
        <f>IF(AND(H50&lt;&gt;"",M50&lt;&gt;""),M50-H50,"")</f>
        <v/>
      </c>
      <c r="O50" s="17" t="n"/>
      <c r="P50" s="4">
        <f>IF(AND(M50&lt;&gt;"",O50&lt;&gt;""),O50-M50,"")</f>
        <v/>
      </c>
      <c r="Q50" s="4" t="n"/>
    </row>
    <row r="51">
      <c r="A51" s="4" t="inlineStr">
        <is>
          <t>F50</t>
        </is>
      </c>
      <c r="B51" s="4" t="inlineStr">
        <is>
          <t>Référentiel de compétences et évaluations</t>
        </is>
      </c>
      <c r="C51" s="4" t="inlineStr">
        <is>
          <t>R6</t>
        </is>
      </c>
      <c r="D51" s="4" t="inlineStr">
        <is>
          <t>NIV-02, NIV-03, APC-04</t>
        </is>
      </c>
      <c r="E51" s="4" t="n">
        <v>3</v>
      </c>
      <c r="F51" s="4" t="inlineStr">
        <is>
          <t>Waiting</t>
        </is>
      </c>
      <c r="G51" s="4" t="n"/>
      <c r="H51" s="17" t="n"/>
      <c r="I51" s="17" t="n"/>
      <c r="J51" s="17" t="n"/>
      <c r="K51" s="17" t="n"/>
      <c r="L51" s="17" t="n"/>
      <c r="M51" s="17" t="n"/>
      <c r="N51" s="4">
        <f>IF(AND(H51&lt;&gt;"",M51&lt;&gt;""),M51-H51,"")</f>
        <v/>
      </c>
      <c r="O51" s="17" t="n"/>
      <c r="P51" s="4">
        <f>IF(AND(M51&lt;&gt;"",O51&lt;&gt;""),O51-M51,"")</f>
        <v/>
      </c>
      <c r="Q51" s="4" t="n"/>
    </row>
    <row r="52">
      <c r="A52" s="4" t="inlineStr">
        <is>
          <t>F51</t>
        </is>
      </c>
      <c r="B52" s="4" t="inlineStr">
        <is>
          <t>Critères et passage de niveau</t>
        </is>
      </c>
      <c r="C52" s="4" t="inlineStr">
        <is>
          <t>R6</t>
        </is>
      </c>
      <c r="D52" s="4" t="inlineStr">
        <is>
          <t>NIV-04, NIV-05</t>
        </is>
      </c>
      <c r="E52" s="4" t="n">
        <v>2</v>
      </c>
      <c r="F52" s="4" t="inlineStr">
        <is>
          <t>Waiting</t>
        </is>
      </c>
      <c r="G52" s="4" t="n"/>
      <c r="H52" s="17" t="n"/>
      <c r="I52" s="17" t="n"/>
      <c r="J52" s="17" t="n"/>
      <c r="K52" s="17" t="n"/>
      <c r="L52" s="17" t="n"/>
      <c r="M52" s="17" t="n"/>
      <c r="N52" s="4">
        <f>IF(AND(H52&lt;&gt;"",M52&lt;&gt;""),M52-H52,"")</f>
        <v/>
      </c>
      <c r="O52" s="17" t="n"/>
      <c r="P52" s="4">
        <f>IF(AND(M52&lt;&gt;"",O52&lt;&gt;""),O52-M52,"")</f>
        <v/>
      </c>
      <c r="Q52" s="4" t="n"/>
    </row>
    <row r="53">
      <c r="A53" s="4" t="inlineStr">
        <is>
          <t>F52</t>
        </is>
      </c>
      <c r="B53" s="4" t="inlineStr">
        <is>
          <t>Certificats et diplômes</t>
        </is>
      </c>
      <c r="C53" s="4" t="inlineStr">
        <is>
          <t>R6</t>
        </is>
      </c>
      <c r="D53" s="4" t="inlineStr">
        <is>
          <t>EVT-07</t>
        </is>
      </c>
      <c r="E53" s="4" t="n">
        <v>1</v>
      </c>
      <c r="F53" s="4" t="inlineStr">
        <is>
          <t>Waiting</t>
        </is>
      </c>
      <c r="G53" s="4" t="n"/>
      <c r="H53" s="17" t="n"/>
      <c r="I53" s="17" t="n"/>
      <c r="J53" s="17" t="n"/>
      <c r="K53" s="17" t="n"/>
      <c r="L53" s="17" t="n"/>
      <c r="M53" s="17" t="n"/>
      <c r="N53" s="4">
        <f>IF(AND(H53&lt;&gt;"",M53&lt;&gt;""),M53-H53,"")</f>
        <v/>
      </c>
      <c r="O53" s="17" t="n"/>
      <c r="P53" s="4">
        <f>IF(AND(M53&lt;&gt;"",O53&lt;&gt;""),O53-M53,"")</f>
        <v/>
      </c>
      <c r="Q53" s="4" t="n"/>
    </row>
    <row r="54">
      <c r="A54" s="4" t="inlineStr">
        <is>
          <t>F53</t>
        </is>
      </c>
      <c r="B54" s="4" t="inlineStr">
        <is>
          <t>Campagne de réinscription et relance des anciens</t>
        </is>
      </c>
      <c r="C54" s="4" t="inlineStr">
        <is>
          <t>R6</t>
        </is>
      </c>
      <c r="D54" s="4" t="inlineStr">
        <is>
          <t>INS-05, MKT-03</t>
        </is>
      </c>
      <c r="E54" s="4" t="n">
        <v>2</v>
      </c>
      <c r="F54" s="4" t="inlineStr">
        <is>
          <t>Waiting</t>
        </is>
      </c>
      <c r="G54" s="4" t="n"/>
      <c r="H54" s="17" t="n"/>
      <c r="I54" s="17" t="n"/>
      <c r="J54" s="17" t="n"/>
      <c r="K54" s="17" t="n"/>
      <c r="L54" s="17" t="n"/>
      <c r="M54" s="17" t="n"/>
      <c r="N54" s="4">
        <f>IF(AND(H54&lt;&gt;"",M54&lt;&gt;""),M54-H54,"")</f>
        <v/>
      </c>
      <c r="O54" s="17" t="n"/>
      <c r="P54" s="4">
        <f>IF(AND(M54&lt;&gt;"",O54&lt;&gt;""),O54-M54,"")</f>
        <v/>
      </c>
      <c r="Q54" s="4" t="n"/>
    </row>
    <row r="55">
      <c r="A55" s="4" t="inlineStr">
        <is>
          <t>F54</t>
        </is>
      </c>
      <c r="B55" s="4" t="inlineStr">
        <is>
          <t>Liste d'attente et place réservée</t>
        </is>
      </c>
      <c r="C55" s="4" t="inlineStr">
        <is>
          <t>R6</t>
        </is>
      </c>
      <c r="D55" s="4" t="inlineStr">
        <is>
          <t>RES-02, RES-03</t>
        </is>
      </c>
      <c r="E55" s="4" t="n">
        <v>2</v>
      </c>
      <c r="F55" s="4" t="inlineStr">
        <is>
          <t>Waiting</t>
        </is>
      </c>
      <c r="G55" s="4" t="n"/>
      <c r="H55" s="17" t="n"/>
      <c r="I55" s="17" t="n"/>
      <c r="J55" s="17" t="n"/>
      <c r="K55" s="17" t="n"/>
      <c r="L55" s="17" t="n"/>
      <c r="M55" s="17" t="n"/>
      <c r="N55" s="4">
        <f>IF(AND(H55&lt;&gt;"",M55&lt;&gt;""),M55-H55,"")</f>
        <v/>
      </c>
      <c r="O55" s="17" t="n"/>
      <c r="P55" s="4">
        <f>IF(AND(M55&lt;&gt;"",O55&lt;&gt;""),O55-M55,"")</f>
        <v/>
      </c>
      <c r="Q55" s="4" t="n"/>
    </row>
    <row r="56">
      <c r="A56" s="4" t="inlineStr">
        <is>
          <t>F55</t>
        </is>
      </c>
      <c r="B56" s="4" t="inlineStr">
        <is>
          <t>Pause d'inscription</t>
        </is>
      </c>
      <c r="C56" s="4" t="inlineStr">
        <is>
          <t>R6</t>
        </is>
      </c>
      <c r="D56" s="4" t="inlineStr">
        <is>
          <t>INS-06</t>
        </is>
      </c>
      <c r="E56" s="4" t="n">
        <v>1</v>
      </c>
      <c r="F56" s="4" t="inlineStr">
        <is>
          <t>Waiting</t>
        </is>
      </c>
      <c r="G56" s="4" t="n"/>
      <c r="H56" s="17" t="n"/>
      <c r="I56" s="17" t="n"/>
      <c r="J56" s="17" t="n"/>
      <c r="K56" s="17" t="n"/>
      <c r="L56" s="17" t="n"/>
      <c r="M56" s="17" t="n"/>
      <c r="N56" s="4">
        <f>IF(AND(H56&lt;&gt;"",M56&lt;&gt;""),M56-H56,"")</f>
        <v/>
      </c>
      <c r="O56" s="17" t="n"/>
      <c r="P56" s="4">
        <f>IF(AND(M56&lt;&gt;"",O56&lt;&gt;""),O56-M56,"")</f>
        <v/>
      </c>
      <c r="Q56" s="4" t="n"/>
    </row>
    <row r="57">
      <c r="A57" s="4" t="inlineStr">
        <is>
          <t>F56</t>
        </is>
      </c>
      <c r="B57" s="4" t="inlineStr">
        <is>
          <t>Fusion de doublons</t>
        </is>
      </c>
      <c r="C57" s="4" t="inlineStr">
        <is>
          <t>R6</t>
        </is>
      </c>
      <c r="D57" s="4" t="inlineStr">
        <is>
          <t>FAM-14</t>
        </is>
      </c>
      <c r="E57" s="4" t="n">
        <v>1</v>
      </c>
      <c r="F57" s="4" t="inlineStr">
        <is>
          <t>Waiting</t>
        </is>
      </c>
      <c r="G57" s="4" t="n"/>
      <c r="H57" s="17" t="n"/>
      <c r="I57" s="17" t="n"/>
      <c r="J57" s="17" t="n"/>
      <c r="K57" s="17" t="n"/>
      <c r="L57" s="17" t="n"/>
      <c r="M57" s="17" t="n"/>
      <c r="N57" s="4">
        <f>IF(AND(H57&lt;&gt;"",M57&lt;&gt;""),M57-H57,"")</f>
        <v/>
      </c>
      <c r="O57" s="17" t="n"/>
      <c r="P57" s="4">
        <f>IF(AND(M57&lt;&gt;"",O57&lt;&gt;""),O57-M57,"")</f>
        <v/>
      </c>
      <c r="Q57" s="4" t="n"/>
    </row>
    <row r="58">
      <c r="A58" s="4" t="inlineStr">
        <is>
          <t>F57</t>
        </is>
      </c>
      <c r="B58" s="4" t="inlineStr">
        <is>
          <t>Rapports standard</t>
        </is>
      </c>
      <c r="C58" s="4" t="inlineStr">
        <is>
          <t>R6</t>
        </is>
      </c>
      <c r="D58" s="4" t="inlineStr">
        <is>
          <t>REP-04</t>
        </is>
      </c>
      <c r="E58" s="4" t="n">
        <v>1</v>
      </c>
      <c r="F58" s="4" t="inlineStr">
        <is>
          <t>Waiting</t>
        </is>
      </c>
      <c r="G58" s="4" t="n"/>
      <c r="H58" s="17" t="n"/>
      <c r="I58" s="17" t="n"/>
      <c r="J58" s="17" t="n"/>
      <c r="K58" s="17" t="n"/>
      <c r="L58" s="17" t="n"/>
      <c r="M58" s="17" t="n"/>
      <c r="N58" s="4">
        <f>IF(AND(H58&lt;&gt;"",M58&lt;&gt;""),M58-H58,"")</f>
        <v/>
      </c>
      <c r="O58" s="17" t="n"/>
      <c r="P58" s="4">
        <f>IF(AND(M58&lt;&gt;"",O58&lt;&gt;""),O58-M58,"")</f>
        <v/>
      </c>
      <c r="Q58" s="4" t="n"/>
    </row>
    <row r="59">
      <c r="A59" s="4" t="inlineStr">
        <is>
          <t>F58</t>
        </is>
      </c>
      <c r="B59" s="4" t="inlineStr">
        <is>
          <t>Programme et emploi du temps du camp</t>
        </is>
      </c>
      <c r="C59" s="4" t="inlineStr">
        <is>
          <t>R7</t>
        </is>
      </c>
      <c r="D59" s="4" t="inlineStr">
        <is>
          <t>EVT-01, EVT-02</t>
        </is>
      </c>
      <c r="E59" s="4" t="n">
        <v>2</v>
      </c>
      <c r="F59" s="4" t="inlineStr">
        <is>
          <t>Waiting</t>
        </is>
      </c>
      <c r="G59" s="4" t="n"/>
      <c r="H59" s="17" t="n"/>
      <c r="I59" s="17" t="n"/>
      <c r="J59" s="17" t="n"/>
      <c r="K59" s="17" t="n"/>
      <c r="L59" s="17" t="n"/>
      <c r="M59" s="17" t="n"/>
      <c r="N59" s="4">
        <f>IF(AND(H59&lt;&gt;"",M59&lt;&gt;""),M59-H59,"")</f>
        <v/>
      </c>
      <c r="O59" s="17" t="n"/>
      <c r="P59" s="4">
        <f>IF(AND(M59&lt;&gt;"",O59&lt;&gt;""),O59-M59,"")</f>
        <v/>
      </c>
      <c r="Q59" s="4" t="n"/>
    </row>
    <row r="60">
      <c r="A60" s="4" t="inlineStr">
        <is>
          <t>F59</t>
        </is>
      </c>
      <c r="B60" s="4" t="inlineStr">
        <is>
          <t>Tarif du camp</t>
        </is>
      </c>
      <c r="C60" s="4" t="inlineStr">
        <is>
          <t>R7</t>
        </is>
      </c>
      <c r="D60" s="4" t="inlineStr">
        <is>
          <t>EVT-04</t>
        </is>
      </c>
      <c r="E60" s="4" t="n">
        <v>1</v>
      </c>
      <c r="F60" s="4" t="inlineStr">
        <is>
          <t>Waiting</t>
        </is>
      </c>
      <c r="G60" s="4" t="n"/>
      <c r="H60" s="17" t="n"/>
      <c r="I60" s="17" t="n"/>
      <c r="J60" s="17" t="n"/>
      <c r="K60" s="17" t="n"/>
      <c r="L60" s="17" t="n"/>
      <c r="M60" s="17" t="n"/>
      <c r="N60" s="4">
        <f>IF(AND(H60&lt;&gt;"",M60&lt;&gt;""),M60-H60,"")</f>
        <v/>
      </c>
      <c r="O60" s="17" t="n"/>
      <c r="P60" s="4">
        <f>IF(AND(M60&lt;&gt;"",O60&lt;&gt;""),O60-M60,"")</f>
        <v/>
      </c>
      <c r="Q60" s="4" t="n"/>
    </row>
    <row r="61">
      <c r="A61" s="4" t="inlineStr">
        <is>
          <t>F60</t>
        </is>
      </c>
      <c r="B61" s="4" t="inlineStr">
        <is>
          <t>Inscription au camp, aux stages et événements</t>
        </is>
      </c>
      <c r="C61" s="4" t="inlineStr">
        <is>
          <t>R7</t>
        </is>
      </c>
      <c r="D61" s="4" t="inlineStr">
        <is>
          <t>EVT-03, RES-07</t>
        </is>
      </c>
      <c r="E61" s="4" t="n">
        <v>2</v>
      </c>
      <c r="F61" s="4" t="inlineStr">
        <is>
          <t>Waiting</t>
        </is>
      </c>
      <c r="G61" s="4" t="n"/>
      <c r="H61" s="17" t="n"/>
      <c r="I61" s="17" t="n"/>
      <c r="J61" s="17" t="n"/>
      <c r="K61" s="17" t="n"/>
      <c r="L61" s="17" t="n"/>
      <c r="M61" s="17" t="n"/>
      <c r="N61" s="4">
        <f>IF(AND(H61&lt;&gt;"",M61&lt;&gt;""),M61-H61,"")</f>
        <v/>
      </c>
      <c r="O61" s="17" t="n"/>
      <c r="P61" s="4">
        <f>IF(AND(M61&lt;&gt;"",O61&lt;&gt;""),O61-M61,"")</f>
        <v/>
      </c>
      <c r="Q61" s="4" t="n"/>
    </row>
    <row r="62">
      <c r="A62" s="4" t="inlineStr">
        <is>
          <t>F61</t>
        </is>
      </c>
      <c r="B62" s="4" t="inlineStr">
        <is>
          <t>Journée continue</t>
        </is>
      </c>
      <c r="C62" s="4" t="inlineStr">
        <is>
          <t>R7</t>
        </is>
      </c>
      <c r="D62" s="4" t="inlineStr">
        <is>
          <t>EVT-05</t>
        </is>
      </c>
      <c r="E62" s="4" t="n">
        <v>1</v>
      </c>
      <c r="F62" s="4" t="inlineStr">
        <is>
          <t>Waiting</t>
        </is>
      </c>
      <c r="G62" s="4" t="n"/>
      <c r="H62" s="17" t="n"/>
      <c r="I62" s="17" t="n"/>
      <c r="J62" s="17" t="n"/>
      <c r="K62" s="17" t="n"/>
      <c r="L62" s="17" t="n"/>
      <c r="M62" s="17" t="n"/>
      <c r="N62" s="4">
        <f>IF(AND(H62&lt;&gt;"",M62&lt;&gt;""),M62-H62,"")</f>
        <v/>
      </c>
      <c r="O62" s="17" t="n"/>
      <c r="P62" s="4">
        <f>IF(AND(M62&lt;&gt;"",O62&lt;&gt;""),O62-M62,"")</f>
        <v/>
      </c>
      <c r="Q62" s="4" t="n"/>
    </row>
    <row r="63">
      <c r="A63" s="4" t="inlineStr">
        <is>
          <t>F62</t>
        </is>
      </c>
      <c r="B63" s="4" t="inlineStr">
        <is>
          <t>Portail parent : accès, enfants et planning</t>
        </is>
      </c>
      <c r="C63" s="4" t="inlineStr">
        <is>
          <t>R8</t>
        </is>
      </c>
      <c r="D63" s="4" t="inlineStr">
        <is>
          <t>APP-01, APP-02</t>
        </is>
      </c>
      <c r="E63" s="4" t="n">
        <v>2</v>
      </c>
      <c r="F63" s="4" t="inlineStr">
        <is>
          <t>Waiting</t>
        </is>
      </c>
      <c r="G63" s="4" t="n"/>
      <c r="H63" s="17" t="n"/>
      <c r="I63" s="17" t="n"/>
      <c r="J63" s="17" t="n"/>
      <c r="K63" s="17" t="n"/>
      <c r="L63" s="17" t="n"/>
      <c r="M63" s="17" t="n"/>
      <c r="N63" s="4">
        <f>IF(AND(H63&lt;&gt;"",M63&lt;&gt;""),M63-H63,"")</f>
        <v/>
      </c>
      <c r="O63" s="17" t="n"/>
      <c r="P63" s="4">
        <f>IF(AND(M63&lt;&gt;"",O63&lt;&gt;""),O63-M63,"")</f>
        <v/>
      </c>
      <c r="Q63" s="4" t="n"/>
    </row>
    <row r="64">
      <c r="A64" s="4" t="inlineStr">
        <is>
          <t>F63</t>
        </is>
      </c>
      <c r="B64" s="4" t="inlineStr">
        <is>
          <t>Factures, solde et paiement en ligne</t>
        </is>
      </c>
      <c r="C64" s="4" t="inlineStr">
        <is>
          <t>R8</t>
        </is>
      </c>
      <c r="D64" s="4" t="inlineStr">
        <is>
          <t>APP-03, FAC-10, INT-02</t>
        </is>
      </c>
      <c r="E64" s="4" t="n">
        <v>3</v>
      </c>
      <c r="F64" s="4" t="inlineStr">
        <is>
          <t>Waiting</t>
        </is>
      </c>
      <c r="G64" s="4" t="n"/>
      <c r="H64" s="17" t="n"/>
      <c r="I64" s="17" t="n"/>
      <c r="J64" s="17" t="n"/>
      <c r="K64" s="17" t="n"/>
      <c r="L64" s="17" t="n"/>
      <c r="M64" s="17" t="n"/>
      <c r="N64" s="4">
        <f>IF(AND(H64&lt;&gt;"",M64&lt;&gt;""),M64-H64,"")</f>
        <v/>
      </c>
      <c r="O64" s="17" t="n"/>
      <c r="P64" s="4">
        <f>IF(AND(M64&lt;&gt;"",O64&lt;&gt;""),O64-M64,"")</f>
        <v/>
      </c>
      <c r="Q64" s="4" t="n"/>
    </row>
    <row r="65">
      <c r="A65" s="4" t="inlineStr">
        <is>
          <t>F64</t>
        </is>
      </c>
      <c r="B65" s="4" t="inlineStr">
        <is>
          <t>Présences et progression côté parent</t>
        </is>
      </c>
      <c r="C65" s="4" t="inlineStr">
        <is>
          <t>R8</t>
        </is>
      </c>
      <c r="D65" s="4" t="inlineStr">
        <is>
          <t>APP-04</t>
        </is>
      </c>
      <c r="E65" s="4" t="n">
        <v>1</v>
      </c>
      <c r="F65" s="4" t="inlineStr">
        <is>
          <t>Waiting</t>
        </is>
      </c>
      <c r="G65" s="4" t="n"/>
      <c r="H65" s="17" t="n"/>
      <c r="I65" s="17" t="n"/>
      <c r="J65" s="17" t="n"/>
      <c r="K65" s="17" t="n"/>
      <c r="L65" s="17" t="n"/>
      <c r="M65" s="17" t="n"/>
      <c r="N65" s="4">
        <f>IF(AND(H65&lt;&gt;"",M65&lt;&gt;""),M65-H65,"")</f>
        <v/>
      </c>
      <c r="O65" s="17" t="n"/>
      <c r="P65" s="4">
        <f>IF(AND(M65&lt;&gt;"",O65&lt;&gt;""),O65-M65,"")</f>
        <v/>
      </c>
      <c r="Q65" s="4" t="n"/>
    </row>
    <row r="66">
      <c r="A66" s="4" t="inlineStr">
        <is>
          <t>F65</t>
        </is>
      </c>
      <c r="B66" s="4" t="inlineStr">
        <is>
          <t>Démarches en libre-service</t>
        </is>
      </c>
      <c r="C66" s="4" t="inlineStr">
        <is>
          <t>R8</t>
        </is>
      </c>
      <c r="D66" s="4" t="inlineStr">
        <is>
          <t>APP-05, PRE-05, RES-05, ONB-02</t>
        </is>
      </c>
      <c r="E66" s="4" t="n">
        <v>4</v>
      </c>
      <c r="F66" s="4" t="inlineStr">
        <is>
          <t>Waiting</t>
        </is>
      </c>
      <c r="G66" s="4" t="n"/>
      <c r="H66" s="17" t="n"/>
      <c r="I66" s="17" t="n"/>
      <c r="J66" s="17" t="n"/>
      <c r="K66" s="17" t="n"/>
      <c r="L66" s="17" t="n"/>
      <c r="M66" s="17" t="n"/>
      <c r="N66" s="4">
        <f>IF(AND(H66&lt;&gt;"",M66&lt;&gt;""),M66-H66,"")</f>
        <v/>
      </c>
      <c r="O66" s="17" t="n"/>
      <c r="P66" s="4">
        <f>IF(AND(M66&lt;&gt;"",O66&lt;&gt;""),O66-M66,"")</f>
        <v/>
      </c>
      <c r="Q66" s="4" t="n"/>
    </row>
    <row r="67">
      <c r="A67" s="4" t="inlineStr">
        <is>
          <t>F66</t>
        </is>
      </c>
      <c r="B67" s="4" t="inlineStr">
        <is>
          <t>Carte famille QR</t>
        </is>
      </c>
      <c r="C67" s="4" t="inlineStr">
        <is>
          <t>R8</t>
        </is>
      </c>
      <c r="D67" s="4" t="inlineStr">
        <is>
          <t>APP-06</t>
        </is>
      </c>
      <c r="E67" s="4" t="n">
        <v>1</v>
      </c>
      <c r="F67" s="4" t="inlineStr">
        <is>
          <t>Waiting</t>
        </is>
      </c>
      <c r="G67" s="4" t="n"/>
      <c r="H67" s="17" t="n"/>
      <c r="I67" s="17" t="n"/>
      <c r="J67" s="17" t="n"/>
      <c r="K67" s="17" t="n"/>
      <c r="L67" s="17" t="n"/>
      <c r="M67" s="17" t="n"/>
      <c r="N67" s="4">
        <f>IF(AND(H67&lt;&gt;"",M67&lt;&gt;""),M67-H67,"")</f>
        <v/>
      </c>
      <c r="O67" s="17" t="n"/>
      <c r="P67" s="4">
        <f>IF(AND(M67&lt;&gt;"",O67&lt;&gt;""),O67-M67,"")</f>
        <v/>
      </c>
      <c r="Q67" s="4" t="n"/>
    </row>
    <row r="68">
      <c r="A68" s="4" t="inlineStr">
        <is>
          <t>F67</t>
        </is>
      </c>
      <c r="B68" s="4" t="inlineStr">
        <is>
          <t>Annonces et message du coach</t>
        </is>
      </c>
      <c r="C68" s="4" t="inlineStr">
        <is>
          <t>R8</t>
        </is>
      </c>
      <c r="D68" s="4" t="inlineStr">
        <is>
          <t>COM-03, COM-04</t>
        </is>
      </c>
      <c r="E68" s="4" t="n">
        <v>2</v>
      </c>
      <c r="F68" s="4" t="inlineStr">
        <is>
          <t>Waiting</t>
        </is>
      </c>
      <c r="G68" s="4" t="n"/>
      <c r="H68" s="17" t="n"/>
      <c r="I68" s="17" t="n"/>
      <c r="J68" s="17" t="n"/>
      <c r="K68" s="17" t="n"/>
      <c r="L68" s="17" t="n"/>
      <c r="M68" s="17" t="n"/>
      <c r="N68" s="4">
        <f>IF(AND(H68&lt;&gt;"",M68&lt;&gt;""),M68-H68,"")</f>
        <v/>
      </c>
      <c r="O68" s="17" t="n"/>
      <c r="P68" s="4">
        <f>IF(AND(M68&lt;&gt;"",O68&lt;&gt;""),O68-M68,"")</f>
        <v/>
      </c>
      <c r="Q68" s="4" t="n"/>
    </row>
    <row r="69">
      <c r="A69" s="4" t="inlineStr">
        <is>
          <t>F68</t>
        </is>
      </c>
      <c r="B69" s="4" t="inlineStr">
        <is>
          <t>CRM prospects</t>
        </is>
      </c>
      <c r="C69" s="4" t="inlineStr">
        <is>
          <t>R8</t>
        </is>
      </c>
      <c r="D69" s="4" t="inlineStr">
        <is>
          <t>CRM-01, CRM-02, CRM-03, CRM-04, CRM-05</t>
        </is>
      </c>
      <c r="E69" s="4" t="n">
        <v>5</v>
      </c>
      <c r="F69" s="4" t="inlineStr">
        <is>
          <t>Waiting</t>
        </is>
      </c>
      <c r="G69" s="4" t="n"/>
      <c r="H69" s="17" t="n"/>
      <c r="I69" s="17" t="n"/>
      <c r="J69" s="17" t="n"/>
      <c r="K69" s="17" t="n"/>
      <c r="L69" s="17" t="n"/>
      <c r="M69" s="17" t="n"/>
      <c r="N69" s="4">
        <f>IF(AND(H69&lt;&gt;"",M69&lt;&gt;""),M69-H69,"")</f>
        <v/>
      </c>
      <c r="O69" s="17" t="n"/>
      <c r="P69" s="4">
        <f>IF(AND(M69&lt;&gt;"",O69&lt;&gt;""),O69-M69,"")</f>
        <v/>
      </c>
      <c r="Q69" s="4" t="n"/>
    </row>
    <row r="70">
      <c r="A70" s="4" t="inlineStr">
        <is>
          <t>F69</t>
        </is>
      </c>
      <c r="B70" s="4" t="inlineStr">
        <is>
          <t>Campagnes marketing</t>
        </is>
      </c>
      <c r="C70" s="4" t="inlineStr">
        <is>
          <t>R8</t>
        </is>
      </c>
      <c r="D70" s="4" t="inlineStr">
        <is>
          <t>MKT-01</t>
        </is>
      </c>
      <c r="E70" s="4" t="n">
        <v>1</v>
      </c>
      <c r="F70" s="4" t="inlineStr">
        <is>
          <t>Waiting</t>
        </is>
      </c>
      <c r="G70" s="4" t="n"/>
      <c r="H70" s="17" t="n"/>
      <c r="I70" s="17" t="n"/>
      <c r="J70" s="17" t="n"/>
      <c r="K70" s="17" t="n"/>
      <c r="L70" s="17" t="n"/>
      <c r="M70" s="17" t="n"/>
      <c r="N70" s="4">
        <f>IF(AND(H70&lt;&gt;"",M70&lt;&gt;""),M70-H70,"")</f>
        <v/>
      </c>
      <c r="O70" s="17" t="n"/>
      <c r="P70" s="4">
        <f>IF(AND(M70&lt;&gt;"",O70&lt;&gt;""),O70-M70,"")</f>
        <v/>
      </c>
      <c r="Q70" s="4" t="n"/>
    </row>
    <row r="71">
      <c r="A71" s="4" t="inlineStr">
        <is>
          <t>F70</t>
        </is>
      </c>
      <c r="B71" s="4" t="inlineStr">
        <is>
          <t>Arabe et anglais</t>
        </is>
      </c>
      <c r="C71" s="4" t="inlineStr">
        <is>
          <t>R8</t>
        </is>
      </c>
      <c r="D71" s="4" t="inlineStr">
        <is>
          <t>PLT-08</t>
        </is>
      </c>
      <c r="E71" s="4" t="n">
        <v>1</v>
      </c>
      <c r="F71" s="4" t="inlineStr">
        <is>
          <t>Waiting</t>
        </is>
      </c>
      <c r="G71" s="4" t="n"/>
      <c r="H71" s="17" t="n"/>
      <c r="I71" s="17" t="n"/>
      <c r="J71" s="17" t="n"/>
      <c r="K71" s="17" t="n"/>
      <c r="L71" s="17" t="n"/>
      <c r="M71" s="17" t="n"/>
      <c r="N71" s="4">
        <f>IF(AND(H71&lt;&gt;"",M71&lt;&gt;""),M71-H71,"")</f>
        <v/>
      </c>
      <c r="O71" s="17" t="n"/>
      <c r="P71" s="4">
        <f>IF(AND(M71&lt;&gt;"",O71&lt;&gt;""),O71-M71,"")</f>
        <v/>
      </c>
      <c r="Q71" s="4" t="n"/>
    </row>
    <row r="72">
      <c r="A72" s="4" t="inlineStr">
        <is>
          <t>F71</t>
        </is>
      </c>
      <c r="B72" s="4" t="inlineStr">
        <is>
          <t>Assistant de démarrage et champs personnalisés</t>
        </is>
      </c>
      <c r="C72" s="4" t="inlineStr">
        <is>
          <t>R9</t>
        </is>
      </c>
      <c r="D72" s="4" t="inlineStr">
        <is>
          <t>ADM-02, ADM-03</t>
        </is>
      </c>
      <c r="E72" s="4" t="n">
        <v>2</v>
      </c>
      <c r="F72" s="4" t="inlineStr">
        <is>
          <t>Waiting</t>
        </is>
      </c>
      <c r="G72" s="4" t="n"/>
      <c r="H72" s="17" t="n"/>
      <c r="I72" s="17" t="n"/>
      <c r="J72" s="17" t="n"/>
      <c r="K72" s="17" t="n"/>
      <c r="L72" s="17" t="n"/>
      <c r="M72" s="17" t="n"/>
      <c r="N72" s="4">
        <f>IF(AND(H72&lt;&gt;"",M72&lt;&gt;""),M72-H72,"")</f>
        <v/>
      </c>
      <c r="O72" s="17" t="n"/>
      <c r="P72" s="4">
        <f>IF(AND(M72&lt;&gt;"",O72&lt;&gt;""),O72-M72,"")</f>
        <v/>
      </c>
      <c r="Q72" s="4" t="n"/>
    </row>
    <row r="73">
      <c r="A73" s="4" t="inlineStr">
        <is>
          <t>F72</t>
        </is>
      </c>
      <c r="B73" s="4" t="inlineStr">
        <is>
          <t>Utilisateur multi-clubs</t>
        </is>
      </c>
      <c r="C73" s="4" t="inlineStr">
        <is>
          <t>R9</t>
        </is>
      </c>
      <c r="D73" s="4" t="inlineStr">
        <is>
          <t>PLT-02</t>
        </is>
      </c>
      <c r="E73" s="4" t="n">
        <v>1</v>
      </c>
      <c r="F73" s="4" t="inlineStr">
        <is>
          <t>Waiting</t>
        </is>
      </c>
      <c r="G73" s="4" t="n"/>
      <c r="H73" s="17" t="n"/>
      <c r="I73" s="17" t="n"/>
      <c r="J73" s="17" t="n"/>
      <c r="K73" s="17" t="n"/>
      <c r="L73" s="17" t="n"/>
      <c r="M73" s="17" t="n"/>
      <c r="N73" s="4">
        <f>IF(AND(H73&lt;&gt;"",M73&lt;&gt;""),M73-H73,"")</f>
        <v/>
      </c>
      <c r="O73" s="17" t="n"/>
      <c r="P73" s="4">
        <f>IF(AND(M73&lt;&gt;"",O73&lt;&gt;""),O73-M73,"")</f>
        <v/>
      </c>
      <c r="Q73" s="4" t="n"/>
    </row>
    <row r="74">
      <c r="A74" s="4" t="inlineStr">
        <is>
          <t>F73</t>
        </is>
      </c>
      <c r="B74" s="4" t="inlineStr">
        <is>
          <t>Abonnement SaaS</t>
        </is>
      </c>
      <c r="C74" s="4" t="inlineStr">
        <is>
          <t>R9</t>
        </is>
      </c>
      <c r="D74" s="4" t="inlineStr">
        <is>
          <t>PLT-07</t>
        </is>
      </c>
      <c r="E74" s="4" t="n">
        <v>1</v>
      </c>
      <c r="F74" s="4" t="inlineStr">
        <is>
          <t>Waiting</t>
        </is>
      </c>
      <c r="G74" s="4" t="n"/>
      <c r="H74" s="17" t="n"/>
      <c r="I74" s="17" t="n"/>
      <c r="J74" s="17" t="n"/>
      <c r="K74" s="17" t="n"/>
      <c r="L74" s="17" t="n"/>
      <c r="M74" s="17" t="n"/>
      <c r="N74" s="4">
        <f>IF(AND(H74&lt;&gt;"",M74&lt;&gt;""),M74-H74,"")</f>
        <v/>
      </c>
      <c r="O74" s="17" t="n"/>
      <c r="P74" s="4">
        <f>IF(AND(M74&lt;&gt;"",O74&lt;&gt;""),O74-M74,"")</f>
        <v/>
      </c>
      <c r="Q74" s="4" t="n"/>
    </row>
  </sheetData>
  <autoFilter ref="A1:Q74"/>
  <conditionalFormatting sqref="F2:F74">
    <cfRule type="cellIs" priority="1" operator="equal" dxfId="0">
      <formula>"Waiting"</formula>
    </cfRule>
    <cfRule type="cellIs" priority="2" operator="equal" dxfId="1">
      <formula>"Cadrage"</formula>
    </cfRule>
    <cfRule type="cellIs" priority="3" operator="equal" dxfId="2">
      <formula>"Dev"</formula>
    </cfRule>
    <cfRule type="cellIs" priority="4" operator="equal" dxfId="3">
      <formula>"In test"</formula>
    </cfRule>
    <cfRule type="cellIs" priority="5" operator="equal" dxfId="4">
      <formula>"Production"</formula>
    </cfRule>
  </conditionalFormatting>
  <dataValidations count="1">
    <dataValidation sqref="F2:F74" showDropDown="0" showInputMessage="0" showErrorMessage="0" allowBlank="0" type="list">
      <formula1>"Waiting,Cadrage,Dev,In test,Production"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6" customWidth="1" min="2" max="2"/>
    <col width="44" customWidth="1" min="3" max="3"/>
    <col width="9" customWidth="1" min="4" max="4"/>
    <col width="10" customWidth="1" min="5" max="5"/>
    <col width="12" customWidth="1" min="6" max="6"/>
    <col width="15" customWidth="1" min="7" max="7"/>
  </cols>
  <sheetData>
    <row r="1" ht="30" customHeight="1">
      <c r="A1" s="16" t="inlineStr">
        <is>
          <t>ID</t>
        </is>
      </c>
      <c r="B1" s="16" t="inlineStr">
        <is>
          <t>Domaine</t>
        </is>
      </c>
      <c r="C1" s="16" t="inlineStr">
        <is>
          <t>Libellé</t>
        </is>
      </c>
      <c r="D1" s="16" t="inlineStr">
        <is>
          <t>Cahier</t>
        </is>
      </c>
      <c r="E1" s="16" t="inlineStr">
        <is>
          <t>Feature</t>
        </is>
      </c>
      <c r="F1" s="16" t="inlineStr">
        <is>
          <t>État</t>
        </is>
      </c>
      <c r="G1" s="16" t="inlineStr">
        <is>
          <t>Date production</t>
        </is>
      </c>
    </row>
    <row r="2">
      <c r="A2" s="4" t="inlineStr">
        <is>
          <t>FAM-01</t>
        </is>
      </c>
      <c r="B2" s="4" t="inlineStr">
        <is>
          <t>Familles / Adhérents</t>
        </is>
      </c>
      <c r="C2" s="4" t="inlineStr">
        <is>
          <t>Compte famille</t>
        </is>
      </c>
      <c r="D2" s="4" t="inlineStr">
        <is>
          <t>MVP</t>
        </is>
      </c>
      <c r="E2" s="4" t="inlineStr">
        <is>
          <t>F02</t>
        </is>
      </c>
      <c r="F2" s="4">
        <f>IFERROR(VLOOKUP($E2,Features!$A$2:$Q$74,6,FALSE),"")</f>
        <v/>
      </c>
      <c r="G2" s="17">
        <f>IFERROR(VLOOKUP($E2,Features!$A$2:$Q$74,15,FALSE),"")</f>
        <v/>
      </c>
    </row>
    <row r="3">
      <c r="A3" s="4" t="inlineStr">
        <is>
          <t>FAM-02</t>
        </is>
      </c>
      <c r="B3" s="4" t="inlineStr">
        <is>
          <t>Familles / Adhérents</t>
        </is>
      </c>
      <c r="C3" s="4" t="inlineStr">
        <is>
          <t>Parents / tuteurs</t>
        </is>
      </c>
      <c r="D3" s="4" t="inlineStr">
        <is>
          <t>MVP</t>
        </is>
      </c>
      <c r="E3" s="4" t="inlineStr">
        <is>
          <t>F02</t>
        </is>
      </c>
      <c r="F3" s="4">
        <f>IFERROR(VLOOKUP($E3,Features!$A$2:$Q$74,6,FALSE),"")</f>
        <v/>
      </c>
      <c r="G3" s="17">
        <f>IFERROR(VLOOKUP($E3,Features!$A$2:$Q$74,15,FALSE),"")</f>
        <v/>
      </c>
    </row>
    <row r="4">
      <c r="A4" s="4" t="inlineStr">
        <is>
          <t>FAM-03</t>
        </is>
      </c>
      <c r="B4" s="4" t="inlineStr">
        <is>
          <t>Familles / Adhérents</t>
        </is>
      </c>
      <c r="C4" s="4" t="inlineStr">
        <is>
          <t>Responsable financier</t>
        </is>
      </c>
      <c r="D4" s="4" t="inlineStr">
        <is>
          <t>MVP</t>
        </is>
      </c>
      <c r="E4" s="4" t="inlineStr">
        <is>
          <t>F02</t>
        </is>
      </c>
      <c r="F4" s="4">
        <f>IFERROR(VLOOKUP($E4,Features!$A$2:$Q$74,6,FALSE),"")</f>
        <v/>
      </c>
      <c r="G4" s="17">
        <f>IFERROR(VLOOKUP($E4,Features!$A$2:$Q$74,15,FALSE),"")</f>
        <v/>
      </c>
    </row>
    <row r="5">
      <c r="A5" s="4" t="inlineStr">
        <is>
          <t>FAM-04</t>
        </is>
      </c>
      <c r="B5" s="4" t="inlineStr">
        <is>
          <t>Familles / Adhérents</t>
        </is>
      </c>
      <c r="C5" s="4" t="inlineStr">
        <is>
          <t>Fiche enfant</t>
        </is>
      </c>
      <c r="D5" s="4" t="inlineStr">
        <is>
          <t>MVP</t>
        </is>
      </c>
      <c r="E5" s="4" t="inlineStr">
        <is>
          <t>F02</t>
        </is>
      </c>
      <c r="F5" s="4">
        <f>IFERROR(VLOOKUP($E5,Features!$A$2:$Q$74,6,FALSE),"")</f>
        <v/>
      </c>
      <c r="G5" s="17">
        <f>IFERROR(VLOOKUP($E5,Features!$A$2:$Q$74,15,FALSE),"")</f>
        <v/>
      </c>
    </row>
    <row r="6">
      <c r="A6" s="4" t="inlineStr">
        <is>
          <t>FAM-05</t>
        </is>
      </c>
      <c r="B6" s="4" t="inlineStr">
        <is>
          <t>Familles / Adhérents</t>
        </is>
      </c>
      <c r="C6" s="4" t="inlineStr">
        <is>
          <t>Contacts d'urgence</t>
        </is>
      </c>
      <c r="D6" s="4" t="inlineStr">
        <is>
          <t>MVP</t>
        </is>
      </c>
      <c r="E6" s="4" t="inlineStr">
        <is>
          <t>F03</t>
        </is>
      </c>
      <c r="F6" s="4">
        <f>IFERROR(VLOOKUP($E6,Features!$A$2:$Q$74,6,FALSE),"")</f>
        <v/>
      </c>
      <c r="G6" s="17">
        <f>IFERROR(VLOOKUP($E6,Features!$A$2:$Q$74,15,FALSE),"")</f>
        <v/>
      </c>
    </row>
    <row r="7">
      <c r="A7" s="4" t="inlineStr">
        <is>
          <t>FAM-06</t>
        </is>
      </c>
      <c r="B7" s="4" t="inlineStr">
        <is>
          <t>Familles / Adhérents</t>
        </is>
      </c>
      <c r="C7" s="4" t="inlineStr">
        <is>
          <t>Personnes autorisées à récupérer</t>
        </is>
      </c>
      <c r="D7" s="4" t="inlineStr">
        <is>
          <t>MVP</t>
        </is>
      </c>
      <c r="E7" s="4" t="inlineStr">
        <is>
          <t>F03</t>
        </is>
      </c>
      <c r="F7" s="4">
        <f>IFERROR(VLOOKUP($E7,Features!$A$2:$Q$74,6,FALSE),"")</f>
        <v/>
      </c>
      <c r="G7" s="17">
        <f>IFERROR(VLOOKUP($E7,Features!$A$2:$Q$74,15,FALSE),"")</f>
        <v/>
      </c>
    </row>
    <row r="8">
      <c r="A8" s="4" t="inlineStr">
        <is>
          <t>FAM-07</t>
        </is>
      </c>
      <c r="B8" s="4" t="inlineStr">
        <is>
          <t>Familles / Adhérents</t>
        </is>
      </c>
      <c r="C8" s="4" t="inlineStr">
        <is>
          <t>Fiche santé</t>
        </is>
      </c>
      <c r="D8" s="4" t="inlineStr">
        <is>
          <t>MVP</t>
        </is>
      </c>
      <c r="E8" s="4" t="inlineStr">
        <is>
          <t>F03</t>
        </is>
      </c>
      <c r="F8" s="4">
        <f>IFERROR(VLOOKUP($E8,Features!$A$2:$Q$74,6,FALSE),"")</f>
        <v/>
      </c>
      <c r="G8" s="17">
        <f>IFERROR(VLOOKUP($E8,Features!$A$2:$Q$74,15,FALSE),"")</f>
        <v/>
      </c>
    </row>
    <row r="9">
      <c r="A9" s="4" t="inlineStr">
        <is>
          <t>FAM-08</t>
        </is>
      </c>
      <c r="B9" s="4" t="inlineStr">
        <is>
          <t>Familles / Adhérents</t>
        </is>
      </c>
      <c r="C9" s="4" t="inlineStr">
        <is>
          <t>Pièces du dossier</t>
        </is>
      </c>
      <c r="D9" s="4" t="inlineStr">
        <is>
          <t>MVP</t>
        </is>
      </c>
      <c r="E9" s="4" t="inlineStr">
        <is>
          <t>F03</t>
        </is>
      </c>
      <c r="F9" s="4">
        <f>IFERROR(VLOOKUP($E9,Features!$A$2:$Q$74,6,FALSE),"")</f>
        <v/>
      </c>
      <c r="G9" s="17">
        <f>IFERROR(VLOOKUP($E9,Features!$A$2:$Q$74,15,FALSE),"")</f>
        <v/>
      </c>
    </row>
    <row r="10">
      <c r="A10" s="4" t="inlineStr">
        <is>
          <t>FAM-10</t>
        </is>
      </c>
      <c r="B10" s="4" t="inlineStr">
        <is>
          <t>Familles / Adhérents</t>
        </is>
      </c>
      <c r="C10" s="4" t="inlineStr">
        <is>
          <t>Statut adhérent</t>
        </is>
      </c>
      <c r="D10" s="4" t="inlineStr">
        <is>
          <t>MVP</t>
        </is>
      </c>
      <c r="E10" s="4" t="inlineStr">
        <is>
          <t>F07</t>
        </is>
      </c>
      <c r="F10" s="4">
        <f>IFERROR(VLOOKUP($E10,Features!$A$2:$Q$74,6,FALSE),"")</f>
        <v/>
      </c>
      <c r="G10" s="17">
        <f>IFERROR(VLOOKUP($E10,Features!$A$2:$Q$74,15,FALSE),"")</f>
        <v/>
      </c>
    </row>
    <row r="11">
      <c r="A11" s="4" t="inlineStr">
        <is>
          <t>FAM-11</t>
        </is>
      </c>
      <c r="B11" s="4" t="inlineStr">
        <is>
          <t>Familles / Adhérents</t>
        </is>
      </c>
      <c r="C11" s="4" t="inlineStr">
        <is>
          <t>Vue 360°</t>
        </is>
      </c>
      <c r="D11" s="4" t="inlineStr">
        <is>
          <t>MVP</t>
        </is>
      </c>
      <c r="E11" s="4" t="inlineStr">
        <is>
          <t>F03</t>
        </is>
      </c>
      <c r="F11" s="4">
        <f>IFERROR(VLOOKUP($E11,Features!$A$2:$Q$74,6,FALSE),"")</f>
        <v/>
      </c>
      <c r="G11" s="17">
        <f>IFERROR(VLOOKUP($E11,Features!$A$2:$Q$74,15,FALSE),"")</f>
        <v/>
      </c>
    </row>
    <row r="12">
      <c r="A12" s="4" t="inlineStr">
        <is>
          <t>FAM-12</t>
        </is>
      </c>
      <c r="B12" s="4" t="inlineStr">
        <is>
          <t>Familles / Adhérents</t>
        </is>
      </c>
      <c r="C12" s="4" t="inlineStr">
        <is>
          <t>Recherche et filtres</t>
        </is>
      </c>
      <c r="D12" s="4" t="inlineStr">
        <is>
          <t>MVP</t>
        </is>
      </c>
      <c r="E12" s="4" t="inlineStr">
        <is>
          <t>F02</t>
        </is>
      </c>
      <c r="F12" s="4">
        <f>IFERROR(VLOOKUP($E12,Features!$A$2:$Q$74,6,FALSE),"")</f>
        <v/>
      </c>
      <c r="G12" s="17">
        <f>IFERROR(VLOOKUP($E12,Features!$A$2:$Q$74,15,FALSE),"")</f>
        <v/>
      </c>
    </row>
    <row r="13">
      <c r="A13" s="4" t="inlineStr">
        <is>
          <t>FAM-13</t>
        </is>
      </c>
      <c r="B13" s="4" t="inlineStr">
        <is>
          <t>Familles / Adhérents</t>
        </is>
      </c>
      <c r="C13" s="4" t="inlineStr">
        <is>
          <t>Import Excel</t>
        </is>
      </c>
      <c r="D13" s="4" t="inlineStr">
        <is>
          <t>MVP</t>
        </is>
      </c>
      <c r="E13" s="4" t="inlineStr">
        <is>
          <t>F16</t>
        </is>
      </c>
      <c r="F13" s="4">
        <f>IFERROR(VLOOKUP($E13,Features!$A$2:$Q$74,6,FALSE),"")</f>
        <v/>
      </c>
      <c r="G13" s="17">
        <f>IFERROR(VLOOKUP($E13,Features!$A$2:$Q$74,15,FALSE),"")</f>
        <v/>
      </c>
    </row>
    <row r="14">
      <c r="A14" s="4" t="inlineStr">
        <is>
          <t>ONB-01</t>
        </is>
      </c>
      <c r="B14" s="4" t="inlineStr">
        <is>
          <t>Onboarding</t>
        </is>
      </c>
      <c r="C14" s="4" t="inlineStr">
        <is>
          <t>Parcours d'inscription guidé</t>
        </is>
      </c>
      <c r="D14" s="4" t="inlineStr">
        <is>
          <t>MVP</t>
        </is>
      </c>
      <c r="E14" s="4" t="inlineStr">
        <is>
          <t>F07</t>
        </is>
      </c>
      <c r="F14" s="4">
        <f>IFERROR(VLOOKUP($E14,Features!$A$2:$Q$74,6,FALSE),"")</f>
        <v/>
      </c>
      <c r="G14" s="17">
        <f>IFERROR(VLOOKUP($E14,Features!$A$2:$Q$74,15,FALSE),"")</f>
        <v/>
      </c>
    </row>
    <row r="15">
      <c r="A15" s="4" t="inlineStr">
        <is>
          <t>ONB-03</t>
        </is>
      </c>
      <c r="B15" s="4" t="inlineStr">
        <is>
          <t>Onboarding</t>
        </is>
      </c>
      <c r="C15" s="4" t="inlineStr">
        <is>
          <t>Consentements</t>
        </is>
      </c>
      <c r="D15" s="4" t="inlineStr">
        <is>
          <t>MVP</t>
        </is>
      </c>
      <c r="E15" s="4" t="inlineStr">
        <is>
          <t>F03</t>
        </is>
      </c>
      <c r="F15" s="4">
        <f>IFERROR(VLOOKUP($E15,Features!$A$2:$Q$74,6,FALSE),"")</f>
        <v/>
      </c>
      <c r="G15" s="17">
        <f>IFERROR(VLOOKUP($E15,Features!$A$2:$Q$74,15,FALSE),"")</f>
        <v/>
      </c>
    </row>
    <row r="16">
      <c r="A16" s="4" t="inlineStr">
        <is>
          <t>ONB-04</t>
        </is>
      </c>
      <c r="B16" s="4" t="inlineStr">
        <is>
          <t>Onboarding</t>
        </is>
      </c>
      <c r="C16" s="4" t="inlineStr">
        <is>
          <t>Fiche d'inscription PDF</t>
        </is>
      </c>
      <c r="D16" s="4" t="inlineStr">
        <is>
          <t>MVP</t>
        </is>
      </c>
      <c r="E16" s="4" t="inlineStr">
        <is>
          <t>F03</t>
        </is>
      </c>
      <c r="F16" s="4">
        <f>IFERROR(VLOOKUP($E16,Features!$A$2:$Q$74,6,FALSE),"")</f>
        <v/>
      </c>
      <c r="G16" s="17">
        <f>IFERROR(VLOOKUP($E16,Features!$A$2:$Q$74,15,FALSE),"")</f>
        <v/>
      </c>
    </row>
    <row r="17">
      <c r="A17" s="4" t="inlineStr">
        <is>
          <t>ONB-05</t>
        </is>
      </c>
      <c r="B17" s="4" t="inlineStr">
        <is>
          <t>Onboarding</t>
        </is>
      </c>
      <c r="C17" s="4" t="inlineStr">
        <is>
          <t>Validation conditionnelle</t>
        </is>
      </c>
      <c r="D17" s="4" t="inlineStr">
        <is>
          <t>MVP</t>
        </is>
      </c>
      <c r="E17" s="4" t="inlineStr">
        <is>
          <t>F07</t>
        </is>
      </c>
      <c r="F17" s="4">
        <f>IFERROR(VLOOKUP($E17,Features!$A$2:$Q$74,6,FALSE),"")</f>
        <v/>
      </c>
      <c r="G17" s="17">
        <f>IFERROR(VLOOKUP($E17,Features!$A$2:$Q$74,15,FALSE),"")</f>
        <v/>
      </c>
    </row>
    <row r="18">
      <c r="A18" s="4" t="inlineStr">
        <is>
          <t>ACT-01</t>
        </is>
      </c>
      <c r="B18" s="4" t="inlineStr">
        <is>
          <t>Activités</t>
        </is>
      </c>
      <c r="C18" s="4" t="inlineStr">
        <is>
          <t>Catalogue d'activités</t>
        </is>
      </c>
      <c r="D18" s="4" t="inlineStr">
        <is>
          <t>MVP</t>
        </is>
      </c>
      <c r="E18" s="4" t="inlineStr">
        <is>
          <t>F04</t>
        </is>
      </c>
      <c r="F18" s="4">
        <f>IFERROR(VLOOKUP($E18,Features!$A$2:$Q$74,6,FALSE),"")</f>
        <v/>
      </c>
      <c r="G18" s="17">
        <f>IFERROR(VLOOKUP($E18,Features!$A$2:$Q$74,15,FALSE),"")</f>
        <v/>
      </c>
    </row>
    <row r="19">
      <c r="A19" s="4" t="inlineStr">
        <is>
          <t>ACT-02</t>
        </is>
      </c>
      <c r="B19" s="4" t="inlineStr">
        <is>
          <t>Activités</t>
        </is>
      </c>
      <c r="C19" s="4" t="inlineStr">
        <is>
          <t>Tranches d'âge</t>
        </is>
      </c>
      <c r="D19" s="4" t="inlineStr">
        <is>
          <t>MVP</t>
        </is>
      </c>
      <c r="E19" s="4" t="inlineStr">
        <is>
          <t>F04</t>
        </is>
      </c>
      <c r="F19" s="4">
        <f>IFERROR(VLOOKUP($E19,Features!$A$2:$Q$74,6,FALSE),"")</f>
        <v/>
      </c>
      <c r="G19" s="17">
        <f>IFERROR(VLOOKUP($E19,Features!$A$2:$Q$74,15,FALSE),"")</f>
        <v/>
      </c>
    </row>
    <row r="20">
      <c r="A20" s="4" t="inlineStr">
        <is>
          <t>ACT-03</t>
        </is>
      </c>
      <c r="B20" s="4" t="inlineStr">
        <is>
          <t>Activités</t>
        </is>
      </c>
      <c r="C20" s="4" t="inlineStr">
        <is>
          <t>Pièces requises par activité</t>
        </is>
      </c>
      <c r="D20" s="4" t="inlineStr">
        <is>
          <t>MVP</t>
        </is>
      </c>
      <c r="E20" s="4" t="inlineStr">
        <is>
          <t>F04</t>
        </is>
      </c>
      <c r="F20" s="4">
        <f>IFERROR(VLOOKUP($E20,Features!$A$2:$Q$74,6,FALSE),"")</f>
        <v/>
      </c>
      <c r="G20" s="17">
        <f>IFERROR(VLOOKUP($E20,Features!$A$2:$Q$74,15,FALSE),"")</f>
        <v/>
      </c>
    </row>
    <row r="21">
      <c r="A21" s="4" t="inlineStr">
        <is>
          <t>ACT-04</t>
        </is>
      </c>
      <c r="B21" s="4" t="inlineStr">
        <is>
          <t>Activités</t>
        </is>
      </c>
      <c r="C21" s="4" t="inlineStr">
        <is>
          <t>Lieux</t>
        </is>
      </c>
      <c r="D21" s="4" t="inlineStr">
        <is>
          <t>MVP</t>
        </is>
      </c>
      <c r="E21" s="4" t="inlineStr">
        <is>
          <t>F04</t>
        </is>
      </c>
      <c r="F21" s="4">
        <f>IFERROR(VLOOKUP($E21,Features!$A$2:$Q$74,6,FALSE),"")</f>
        <v/>
      </c>
      <c r="G21" s="17">
        <f>IFERROR(VLOOKUP($E21,Features!$A$2:$Q$74,15,FALSE),"")</f>
        <v/>
      </c>
    </row>
    <row r="22">
      <c r="A22" s="4" t="inlineStr">
        <is>
          <t>NIV-01</t>
        </is>
      </c>
      <c r="B22" s="4" t="inlineStr">
        <is>
          <t>Niveaux</t>
        </is>
      </c>
      <c r="C22" s="4" t="inlineStr">
        <is>
          <t>Niveaux personnalisables</t>
        </is>
      </c>
      <c r="D22" s="4" t="inlineStr">
        <is>
          <t>MVP</t>
        </is>
      </c>
      <c r="E22" s="4" t="inlineStr">
        <is>
          <t>F04</t>
        </is>
      </c>
      <c r="F22" s="4">
        <f>IFERROR(VLOOKUP($E22,Features!$A$2:$Q$74,6,FALSE),"")</f>
        <v/>
      </c>
      <c r="G22" s="17">
        <f>IFERROR(VLOOKUP($E22,Features!$A$2:$Q$74,15,FALSE),"")</f>
        <v/>
      </c>
    </row>
    <row r="23">
      <c r="A23" s="4" t="inlineStr">
        <is>
          <t>GRP-01</t>
        </is>
      </c>
      <c r="B23" s="4" t="inlineStr">
        <is>
          <t>Groupes</t>
        </is>
      </c>
      <c r="C23" s="4" t="inlineStr">
        <is>
          <t>Groupe</t>
        </is>
      </c>
      <c r="D23" s="4" t="inlineStr">
        <is>
          <t>MVP</t>
        </is>
      </c>
      <c r="E23" s="4" t="inlineStr">
        <is>
          <t>F04</t>
        </is>
      </c>
      <c r="F23" s="4">
        <f>IFERROR(VLOOKUP($E23,Features!$A$2:$Q$74,6,FALSE),"")</f>
        <v/>
      </c>
      <c r="G23" s="17">
        <f>IFERROR(VLOOKUP($E23,Features!$A$2:$Q$74,15,FALSE),"")</f>
        <v/>
      </c>
    </row>
    <row r="24">
      <c r="A24" s="4" t="inlineStr">
        <is>
          <t>GRP-02</t>
        </is>
      </c>
      <c r="B24" s="4" t="inlineStr">
        <is>
          <t>Groupes</t>
        </is>
      </c>
      <c r="C24" s="4" t="inlineStr">
        <is>
          <t>Roster</t>
        </is>
      </c>
      <c r="D24" s="4" t="inlineStr">
        <is>
          <t>MVP</t>
        </is>
      </c>
      <c r="E24" s="4" t="inlineStr">
        <is>
          <t>F07</t>
        </is>
      </c>
      <c r="F24" s="4">
        <f>IFERROR(VLOOKUP($E24,Features!$A$2:$Q$74,6,FALSE),"")</f>
        <v/>
      </c>
      <c r="G24" s="17">
        <f>IFERROR(VLOOKUP($E24,Features!$A$2:$Q$74,15,FALSE),"")</f>
        <v/>
      </c>
    </row>
    <row r="25">
      <c r="A25" s="4" t="inlineStr">
        <is>
          <t>GRP-03</t>
        </is>
      </c>
      <c r="B25" s="4" t="inlineStr">
        <is>
          <t>Groupes</t>
        </is>
      </c>
      <c r="C25" s="4" t="inlineStr">
        <is>
          <t>Taux de remplissage</t>
        </is>
      </c>
      <c r="D25" s="4" t="inlineStr">
        <is>
          <t>MVP</t>
        </is>
      </c>
      <c r="E25" s="4" t="inlineStr">
        <is>
          <t>F04</t>
        </is>
      </c>
      <c r="F25" s="4">
        <f>IFERROR(VLOOKUP($E25,Features!$A$2:$Q$74,6,FALSE),"")</f>
        <v/>
      </c>
      <c r="G25" s="17">
        <f>IFERROR(VLOOKUP($E25,Features!$A$2:$Q$74,15,FALSE),"")</f>
        <v/>
      </c>
    </row>
    <row r="26">
      <c r="A26" s="4" t="inlineStr">
        <is>
          <t>GRP-04</t>
        </is>
      </c>
      <c r="B26" s="4" t="inlineStr">
        <is>
          <t>Groupes</t>
        </is>
      </c>
      <c r="C26" s="4" t="inlineStr">
        <is>
          <t>Groupes compatibles</t>
        </is>
      </c>
      <c r="D26" s="4" t="inlineStr">
        <is>
          <t>MVP</t>
        </is>
      </c>
      <c r="E26" s="4" t="inlineStr">
        <is>
          <t>F04</t>
        </is>
      </c>
      <c r="F26" s="4">
        <f>IFERROR(VLOOKUP($E26,Features!$A$2:$Q$74,6,FALSE),"")</f>
        <v/>
      </c>
      <c r="G26" s="17">
        <f>IFERROR(VLOOKUP($E26,Features!$A$2:$Q$74,15,FALSE),"")</f>
        <v/>
      </c>
    </row>
    <row r="27">
      <c r="A27" s="4" t="inlineStr">
        <is>
          <t>GRP-05</t>
        </is>
      </c>
      <c r="B27" s="4" t="inlineStr">
        <is>
          <t>Groupes</t>
        </is>
      </c>
      <c r="C27" s="4" t="inlineStr">
        <is>
          <t>Changement de groupe</t>
        </is>
      </c>
      <c r="D27" s="4" t="inlineStr">
        <is>
          <t>MVP</t>
        </is>
      </c>
      <c r="E27" s="4" t="inlineStr">
        <is>
          <t>F07</t>
        </is>
      </c>
      <c r="F27" s="4">
        <f>IFERROR(VLOOKUP($E27,Features!$A$2:$Q$74,6,FALSE),"")</f>
        <v/>
      </c>
      <c r="G27" s="17">
        <f>IFERROR(VLOOKUP($E27,Features!$A$2:$Q$74,15,FALSE),"")</f>
        <v/>
      </c>
    </row>
    <row r="28">
      <c r="A28" s="4" t="inlineStr">
        <is>
          <t>PLA-01</t>
        </is>
      </c>
      <c r="B28" s="4" t="inlineStr">
        <is>
          <t>Planning</t>
        </is>
      </c>
      <c r="C28" s="4" t="inlineStr">
        <is>
          <t>Saison</t>
        </is>
      </c>
      <c r="D28" s="4" t="inlineStr">
        <is>
          <t>MVP</t>
        </is>
      </c>
      <c r="E28" s="4" t="inlineStr">
        <is>
          <t>F04</t>
        </is>
      </c>
      <c r="F28" s="4">
        <f>IFERROR(VLOOKUP($E28,Features!$A$2:$Q$74,6,FALSE),"")</f>
        <v/>
      </c>
      <c r="G28" s="17">
        <f>IFERROR(VLOOKUP($E28,Features!$A$2:$Q$74,15,FALSE),"")</f>
        <v/>
      </c>
    </row>
    <row r="29">
      <c r="A29" s="4" t="inlineStr">
        <is>
          <t>PLA-02</t>
        </is>
      </c>
      <c r="B29" s="4" t="inlineStr">
        <is>
          <t>Planning</t>
        </is>
      </c>
      <c r="C29" s="4" t="inlineStr">
        <is>
          <t>Créneaux récurrents</t>
        </is>
      </c>
      <c r="D29" s="4" t="inlineStr">
        <is>
          <t>MVP</t>
        </is>
      </c>
      <c r="E29" s="4" t="inlineStr">
        <is>
          <t>F04</t>
        </is>
      </c>
      <c r="F29" s="4">
        <f>IFERROR(VLOOKUP($E29,Features!$A$2:$Q$74,6,FALSE),"")</f>
        <v/>
      </c>
      <c r="G29" s="17">
        <f>IFERROR(VLOOKUP($E29,Features!$A$2:$Q$74,15,FALSE),"")</f>
        <v/>
      </c>
    </row>
    <row r="30">
      <c r="A30" s="4" t="inlineStr">
        <is>
          <t>PLA-05</t>
        </is>
      </c>
      <c r="B30" s="4" t="inlineStr">
        <is>
          <t>Planning</t>
        </is>
      </c>
      <c r="C30" s="4" t="inlineStr">
        <is>
          <t>Fériés, vacances et indisponibilités de lieux</t>
        </is>
      </c>
      <c r="D30" s="4" t="inlineStr">
        <is>
          <t>MVP</t>
        </is>
      </c>
      <c r="E30" s="4" t="inlineStr">
        <is>
          <t>F04</t>
        </is>
      </c>
      <c r="F30" s="4">
        <f>IFERROR(VLOOKUP($E30,Features!$A$2:$Q$74,6,FALSE),"")</f>
        <v/>
      </c>
      <c r="G30" s="17">
        <f>IFERROR(VLOOKUP($E30,Features!$A$2:$Q$74,15,FALSE),"")</f>
        <v/>
      </c>
    </row>
    <row r="31">
      <c r="A31" s="4" t="inlineStr">
        <is>
          <t>INS-01</t>
        </is>
      </c>
      <c r="B31" s="4" t="inlineStr">
        <is>
          <t>Abonnements / Inscriptions</t>
        </is>
      </c>
      <c r="C31" s="4" t="inlineStr">
        <is>
          <t>Inscription</t>
        </is>
      </c>
      <c r="D31" s="4" t="inlineStr">
        <is>
          <t>MVP</t>
        </is>
      </c>
      <c r="E31" s="4" t="inlineStr">
        <is>
          <t>F07</t>
        </is>
      </c>
      <c r="F31" s="4">
        <f>IFERROR(VLOOKUP($E31,Features!$A$2:$Q$74,6,FALSE),"")</f>
        <v/>
      </c>
      <c r="G31" s="17">
        <f>IFERROR(VLOOKUP($E31,Features!$A$2:$Q$74,15,FALSE),"")</f>
        <v/>
      </c>
    </row>
    <row r="32">
      <c r="A32" s="4" t="inlineStr">
        <is>
          <t>INS-02</t>
        </is>
      </c>
      <c r="B32" s="4" t="inlineStr">
        <is>
          <t>Abonnements / Inscriptions</t>
        </is>
      </c>
      <c r="C32" s="4" t="inlineStr">
        <is>
          <t>Multi-activités</t>
        </is>
      </c>
      <c r="D32" s="4" t="inlineStr">
        <is>
          <t>MVP</t>
        </is>
      </c>
      <c r="E32" s="4" t="inlineStr">
        <is>
          <t>F07</t>
        </is>
      </c>
      <c r="F32" s="4">
        <f>IFERROR(VLOOKUP($E32,Features!$A$2:$Q$74,6,FALSE),"")</f>
        <v/>
      </c>
      <c r="G32" s="17">
        <f>IFERROR(VLOOKUP($E32,Features!$A$2:$Q$74,15,FALSE),"")</f>
        <v/>
      </c>
    </row>
    <row r="33">
      <c r="A33" s="4" t="inlineStr">
        <is>
          <t>INS-03</t>
        </is>
      </c>
      <c r="B33" s="4" t="inlineStr">
        <is>
          <t>Abonnements / Inscriptions</t>
        </is>
      </c>
      <c r="C33" s="4" t="inlineStr">
        <is>
          <t>Formules</t>
        </is>
      </c>
      <c r="D33" s="4" t="inlineStr">
        <is>
          <t>MVP</t>
        </is>
      </c>
      <c r="E33" s="4" t="inlineStr">
        <is>
          <t>F07</t>
        </is>
      </c>
      <c r="F33" s="4">
        <f>IFERROR(VLOOKUP($E33,Features!$A$2:$Q$74,6,FALSE),"")</f>
        <v/>
      </c>
      <c r="G33" s="17">
        <f>IFERROR(VLOOKUP($E33,Features!$A$2:$Q$74,15,FALSE),"")</f>
        <v/>
      </c>
    </row>
    <row r="34">
      <c r="A34" s="4" t="inlineStr">
        <is>
          <t>TAR-01</t>
        </is>
      </c>
      <c r="B34" s="4" t="inlineStr">
        <is>
          <t>Tarification</t>
        </is>
      </c>
      <c r="C34" s="4" t="inlineStr">
        <is>
          <t>Grille tarifaire</t>
        </is>
      </c>
      <c r="D34" s="4" t="inlineStr">
        <is>
          <t>MVP</t>
        </is>
      </c>
      <c r="E34" s="4" t="inlineStr">
        <is>
          <t>F05</t>
        </is>
      </c>
      <c r="F34" s="4">
        <f>IFERROR(VLOOKUP($E34,Features!$A$2:$Q$74,6,FALSE),"")</f>
        <v/>
      </c>
      <c r="G34" s="17">
        <f>IFERROR(VLOOKUP($E34,Features!$A$2:$Q$74,15,FALSE),"")</f>
        <v/>
      </c>
    </row>
    <row r="35">
      <c r="A35" s="4" t="inlineStr">
        <is>
          <t>TAR-02</t>
        </is>
      </c>
      <c r="B35" s="4" t="inlineStr">
        <is>
          <t>Tarification</t>
        </is>
      </c>
      <c r="C35" s="4" t="inlineStr">
        <is>
          <t>Offres par durée et tarifs saisonniers</t>
        </is>
      </c>
      <c r="D35" s="4" t="inlineStr">
        <is>
          <t>MVP</t>
        </is>
      </c>
      <c r="E35" s="4" t="inlineStr">
        <is>
          <t>F05</t>
        </is>
      </c>
      <c r="F35" s="4">
        <f>IFERROR(VLOOKUP($E35,Features!$A$2:$Q$74,6,FALSE),"")</f>
        <v/>
      </c>
      <c r="G35" s="17">
        <f>IFERROR(VLOOKUP($E35,Features!$A$2:$Q$74,15,FALSE),"")</f>
        <v/>
      </c>
    </row>
    <row r="36">
      <c r="A36" s="4" t="inlineStr">
        <is>
          <t>TAR-03</t>
        </is>
      </c>
      <c r="B36" s="4" t="inlineStr">
        <is>
          <t>Tarification</t>
        </is>
      </c>
      <c r="C36" s="4" t="inlineStr">
        <is>
          <t>Frais annuels</t>
        </is>
      </c>
      <c r="D36" s="4" t="inlineStr">
        <is>
          <t>MVP</t>
        </is>
      </c>
      <c r="E36" s="4" t="inlineStr">
        <is>
          <t>F05</t>
        </is>
      </c>
      <c r="F36" s="4">
        <f>IFERROR(VLOOKUP($E36,Features!$A$2:$Q$74,6,FALSE),"")</f>
        <v/>
      </c>
      <c r="G36" s="17">
        <f>IFERROR(VLOOKUP($E36,Features!$A$2:$Q$74,15,FALSE),"")</f>
        <v/>
      </c>
    </row>
    <row r="37">
      <c r="A37" s="4" t="inlineStr">
        <is>
          <t>TAR-04</t>
        </is>
      </c>
      <c r="B37" s="4" t="inlineStr">
        <is>
          <t>Tarification</t>
        </is>
      </c>
      <c r="C37" s="4" t="inlineStr">
        <is>
          <t>Remises automatiques</t>
        </is>
      </c>
      <c r="D37" s="4" t="inlineStr">
        <is>
          <t>MVP</t>
        </is>
      </c>
      <c r="E37" s="4" t="inlineStr">
        <is>
          <t>F06</t>
        </is>
      </c>
      <c r="F37" s="4">
        <f>IFERROR(VLOOKUP($E37,Features!$A$2:$Q$74,6,FALSE),"")</f>
        <v/>
      </c>
      <c r="G37" s="17">
        <f>IFERROR(VLOOKUP($E37,Features!$A$2:$Q$74,15,FALSE),"")</f>
        <v/>
      </c>
    </row>
    <row r="38">
      <c r="A38" s="4" t="inlineStr">
        <is>
          <t>TAR-05</t>
        </is>
      </c>
      <c r="B38" s="4" t="inlineStr">
        <is>
          <t>Tarification</t>
        </is>
      </c>
      <c r="C38" s="4" t="inlineStr">
        <is>
          <t>Remise manuelle</t>
        </is>
      </c>
      <c r="D38" s="4" t="inlineStr">
        <is>
          <t>MVP</t>
        </is>
      </c>
      <c r="E38" s="4" t="inlineStr">
        <is>
          <t>F06</t>
        </is>
      </c>
      <c r="F38" s="4">
        <f>IFERROR(VLOOKUP($E38,Features!$A$2:$Q$74,6,FALSE),"")</f>
        <v/>
      </c>
      <c r="G38" s="17">
        <f>IFERROR(VLOOKUP($E38,Features!$A$2:$Q$74,15,FALSE),"")</f>
        <v/>
      </c>
    </row>
    <row r="39">
      <c r="A39" s="4" t="inlineStr">
        <is>
          <t>TAR-06</t>
        </is>
      </c>
      <c r="B39" s="4" t="inlineStr">
        <is>
          <t>Tarification</t>
        </is>
      </c>
      <c r="C39" s="4" t="inlineStr">
        <is>
          <t>Packs de séances</t>
        </is>
      </c>
      <c r="D39" s="4" t="inlineStr">
        <is>
          <t>MVP</t>
        </is>
      </c>
      <c r="E39" s="4" t="inlineStr">
        <is>
          <t>F05</t>
        </is>
      </c>
      <c r="F39" s="4">
        <f>IFERROR(VLOOKUP($E39,Features!$A$2:$Q$74,6,FALSE),"")</f>
        <v/>
      </c>
      <c r="G39" s="17">
        <f>IFERROR(VLOOKUP($E39,Features!$A$2:$Q$74,15,FALSE),"")</f>
        <v/>
      </c>
    </row>
    <row r="40">
      <c r="A40" s="4" t="inlineStr">
        <is>
          <t>TAR-08</t>
        </is>
      </c>
      <c r="B40" s="4" t="inlineStr">
        <is>
          <t>Tarification</t>
        </is>
      </c>
      <c r="C40" s="4" t="inlineStr">
        <is>
          <t>Tarif personnalisé</t>
        </is>
      </c>
      <c r="D40" s="4" t="inlineStr">
        <is>
          <t>MVP</t>
        </is>
      </c>
      <c r="E40" s="4" t="inlineStr">
        <is>
          <t>F05</t>
        </is>
      </c>
      <c r="F40" s="4">
        <f>IFERROR(VLOOKUP($E40,Features!$A$2:$Q$74,6,FALSE),"")</f>
        <v/>
      </c>
      <c r="G40" s="17">
        <f>IFERROR(VLOOKUP($E40,Features!$A$2:$Q$74,15,FALSE),"")</f>
        <v/>
      </c>
    </row>
    <row r="41">
      <c r="A41" s="4" t="inlineStr">
        <is>
          <t>FAC-01</t>
        </is>
      </c>
      <c r="B41" s="4" t="inlineStr">
        <is>
          <t>Paiements</t>
        </is>
      </c>
      <c r="C41" s="4" t="inlineStr">
        <is>
          <t>Facture famille</t>
        </is>
      </c>
      <c r="D41" s="4" t="inlineStr">
        <is>
          <t>MVP</t>
        </is>
      </c>
      <c r="E41" s="4" t="inlineStr">
        <is>
          <t>F08</t>
        </is>
      </c>
      <c r="F41" s="4">
        <f>IFERROR(VLOOKUP($E41,Features!$A$2:$Q$74,6,FALSE),"")</f>
        <v/>
      </c>
      <c r="G41" s="17">
        <f>IFERROR(VLOOKUP($E41,Features!$A$2:$Q$74,15,FALSE),"")</f>
        <v/>
      </c>
    </row>
    <row r="42">
      <c r="A42" s="4" t="inlineStr">
        <is>
          <t>FAC-02</t>
        </is>
      </c>
      <c r="B42" s="4" t="inlineStr">
        <is>
          <t>Paiements</t>
        </is>
      </c>
      <c r="C42" s="4" t="inlineStr">
        <is>
          <t>Échéancier</t>
        </is>
      </c>
      <c r="D42" s="4" t="inlineStr">
        <is>
          <t>MVP</t>
        </is>
      </c>
      <c r="E42" s="4" t="inlineStr">
        <is>
          <t>F08</t>
        </is>
      </c>
      <c r="F42" s="4">
        <f>IFERROR(VLOOKUP($E42,Features!$A$2:$Q$74,6,FALSE),"")</f>
        <v/>
      </c>
      <c r="G42" s="17">
        <f>IFERROR(VLOOKUP($E42,Features!$A$2:$Q$74,15,FALSE),"")</f>
        <v/>
      </c>
    </row>
    <row r="43">
      <c r="A43" s="4" t="inlineStr">
        <is>
          <t>FAC-03</t>
        </is>
      </c>
      <c r="B43" s="4" t="inlineStr">
        <is>
          <t>Paiements</t>
        </is>
      </c>
      <c r="C43" s="4" t="inlineStr">
        <is>
          <t>Encaissement</t>
        </is>
      </c>
      <c r="D43" s="4" t="inlineStr">
        <is>
          <t>MVP</t>
        </is>
      </c>
      <c r="E43" s="4" t="inlineStr">
        <is>
          <t>F09</t>
        </is>
      </c>
      <c r="F43" s="4">
        <f>IFERROR(VLOOKUP($E43,Features!$A$2:$Q$74,6,FALSE),"")</f>
        <v/>
      </c>
      <c r="G43" s="17">
        <f>IFERROR(VLOOKUP($E43,Features!$A$2:$Q$74,15,FALSE),"")</f>
        <v/>
      </c>
    </row>
    <row r="44">
      <c r="A44" s="4" t="inlineStr">
        <is>
          <t>FAC-04</t>
        </is>
      </c>
      <c r="B44" s="4" t="inlineStr">
        <is>
          <t>Paiements</t>
        </is>
      </c>
      <c r="C44" s="4" t="inlineStr">
        <is>
          <t>Avoir et remboursement</t>
        </is>
      </c>
      <c r="D44" s="4" t="inlineStr">
        <is>
          <t>MVP</t>
        </is>
      </c>
      <c r="E44" s="4" t="inlineStr">
        <is>
          <t>F11</t>
        </is>
      </c>
      <c r="F44" s="4">
        <f>IFERROR(VLOOKUP($E44,Features!$A$2:$Q$74,6,FALSE),"")</f>
        <v/>
      </c>
      <c r="G44" s="17">
        <f>IFERROR(VLOOKUP($E44,Features!$A$2:$Q$74,15,FALSE),"")</f>
        <v/>
      </c>
    </row>
    <row r="45">
      <c r="A45" s="4" t="inlineStr">
        <is>
          <t>FAC-05</t>
        </is>
      </c>
      <c r="B45" s="4" t="inlineStr">
        <is>
          <t>Paiements</t>
        </is>
      </c>
      <c r="C45" s="4" t="inlineStr">
        <is>
          <t>Ventilation</t>
        </is>
      </c>
      <c r="D45" s="4" t="inlineStr">
        <is>
          <t>MVP</t>
        </is>
      </c>
      <c r="E45" s="4" t="inlineStr">
        <is>
          <t>F09</t>
        </is>
      </c>
      <c r="F45" s="4">
        <f>IFERROR(VLOOKUP($E45,Features!$A$2:$Q$74,6,FALSE),"")</f>
        <v/>
      </c>
      <c r="G45" s="17">
        <f>IFERROR(VLOOKUP($E45,Features!$A$2:$Q$74,15,FALSE),"")</f>
        <v/>
      </c>
    </row>
    <row r="46">
      <c r="A46" s="4" t="inlineStr">
        <is>
          <t>FAC-06</t>
        </is>
      </c>
      <c r="B46" s="4" t="inlineStr">
        <is>
          <t>Paiements</t>
        </is>
      </c>
      <c r="C46" s="4" t="inlineStr">
        <is>
          <t>Solde famille</t>
        </is>
      </c>
      <c r="D46" s="4" t="inlineStr">
        <is>
          <t>MVP</t>
        </is>
      </c>
      <c r="E46" s="4" t="inlineStr">
        <is>
          <t>F08</t>
        </is>
      </c>
      <c r="F46" s="4">
        <f>IFERROR(VLOOKUP($E46,Features!$A$2:$Q$74,6,FALSE),"")</f>
        <v/>
      </c>
      <c r="G46" s="17">
        <f>IFERROR(VLOOKUP($E46,Features!$A$2:$Q$74,15,FALSE),"")</f>
        <v/>
      </c>
    </row>
    <row r="47">
      <c r="A47" s="4" t="inlineStr">
        <is>
          <t>FAC-07</t>
        </is>
      </c>
      <c r="B47" s="4" t="inlineStr">
        <is>
          <t>Paiements</t>
        </is>
      </c>
      <c r="C47" s="4" t="inlineStr">
        <is>
          <t>Reçu numéroté</t>
        </is>
      </c>
      <c r="D47" s="4" t="inlineStr">
        <is>
          <t>MVP</t>
        </is>
      </c>
      <c r="E47" s="4" t="inlineStr">
        <is>
          <t>F09</t>
        </is>
      </c>
      <c r="F47" s="4">
        <f>IFERROR(VLOOKUP($E47,Features!$A$2:$Q$74,6,FALSE),"")</f>
        <v/>
      </c>
      <c r="G47" s="17">
        <f>IFERROR(VLOOKUP($E47,Features!$A$2:$Q$74,15,FALSE),"")</f>
        <v/>
      </c>
    </row>
    <row r="48">
      <c r="A48" s="4" t="inlineStr">
        <is>
          <t>FAC-08</t>
        </is>
      </c>
      <c r="B48" s="4" t="inlineStr">
        <is>
          <t>Paiements</t>
        </is>
      </c>
      <c r="C48" s="4" t="inlineStr">
        <is>
          <t>Registre des chèques</t>
        </is>
      </c>
      <c r="D48" s="4" t="inlineStr">
        <is>
          <t>MVP</t>
        </is>
      </c>
      <c r="E48" s="4" t="inlineStr">
        <is>
          <t>F10</t>
        </is>
      </c>
      <c r="F48" s="4">
        <f>IFERROR(VLOOKUP($E48,Features!$A$2:$Q$74,6,FALSE),"")</f>
        <v/>
      </c>
      <c r="G48" s="17">
        <f>IFERROR(VLOOKUP($E48,Features!$A$2:$Q$74,15,FALSE),"")</f>
        <v/>
      </c>
    </row>
    <row r="49">
      <c r="A49" s="4" t="inlineStr">
        <is>
          <t>FAC-09</t>
        </is>
      </c>
      <c r="B49" s="4" t="inlineStr">
        <is>
          <t>Paiements</t>
        </is>
      </c>
      <c r="C49" s="4" t="inlineStr">
        <is>
          <t>Acompte / crédit famille</t>
        </is>
      </c>
      <c r="D49" s="4" t="inlineStr">
        <is>
          <t>MVP</t>
        </is>
      </c>
      <c r="E49" s="4" t="inlineStr">
        <is>
          <t>F08</t>
        </is>
      </c>
      <c r="F49" s="4">
        <f>IFERROR(VLOOKUP($E49,Features!$A$2:$Q$74,6,FALSE),"")</f>
        <v/>
      </c>
      <c r="G49" s="17">
        <f>IFERROR(VLOOKUP($E49,Features!$A$2:$Q$74,15,FALSE),"")</f>
        <v/>
      </c>
    </row>
    <row r="50">
      <c r="A50" s="4" t="inlineStr">
        <is>
          <t>IMP-01</t>
        </is>
      </c>
      <c r="B50" s="4" t="inlineStr">
        <is>
          <t>Impayés</t>
        </is>
      </c>
      <c r="C50" s="4" t="inlineStr">
        <is>
          <t>Balance âgée</t>
        </is>
      </c>
      <c r="D50" s="4" t="inlineStr">
        <is>
          <t>MVP</t>
        </is>
      </c>
      <c r="E50" s="4" t="inlineStr">
        <is>
          <t>F15</t>
        </is>
      </c>
      <c r="F50" s="4">
        <f>IFERROR(VLOOKUP($E50,Features!$A$2:$Q$74,6,FALSE),"")</f>
        <v/>
      </c>
      <c r="G50" s="17">
        <f>IFERROR(VLOOKUP($E50,Features!$A$2:$Q$74,15,FALSE),"")</f>
        <v/>
      </c>
    </row>
    <row r="51">
      <c r="A51" s="4" t="inlineStr">
        <is>
          <t>POS-01</t>
        </is>
      </c>
      <c r="B51" s="4" t="inlineStr">
        <is>
          <t>POS</t>
        </is>
      </c>
      <c r="C51" s="4" t="inlineStr">
        <is>
          <t>Vente comptoir</t>
        </is>
      </c>
      <c r="D51" s="4" t="inlineStr">
        <is>
          <t>MVP</t>
        </is>
      </c>
      <c r="E51" s="4" t="inlineStr">
        <is>
          <t>F14</t>
        </is>
      </c>
      <c r="F51" s="4">
        <f>IFERROR(VLOOKUP($E51,Features!$A$2:$Q$74,6,FALSE),"")</f>
        <v/>
      </c>
      <c r="G51" s="17">
        <f>IFERROR(VLOOKUP($E51,Features!$A$2:$Q$74,15,FALSE),"")</f>
        <v/>
      </c>
    </row>
    <row r="52">
      <c r="A52" s="4" t="inlineStr">
        <is>
          <t>POS-02</t>
        </is>
      </c>
      <c r="B52" s="4" t="inlineStr">
        <is>
          <t>POS</t>
        </is>
      </c>
      <c r="C52" s="4" t="inlineStr">
        <is>
          <t>Catalogue d'articles</t>
        </is>
      </c>
      <c r="D52" s="4" t="inlineStr">
        <is>
          <t>MVP</t>
        </is>
      </c>
      <c r="E52" s="4" t="inlineStr">
        <is>
          <t>F14</t>
        </is>
      </c>
      <c r="F52" s="4">
        <f>IFERROR(VLOOKUP($E52,Features!$A$2:$Q$74,6,FALSE),"")</f>
        <v/>
      </c>
      <c r="G52" s="17">
        <f>IFERROR(VLOOKUP($E52,Features!$A$2:$Q$74,15,FALSE),"")</f>
        <v/>
      </c>
    </row>
    <row r="53">
      <c r="A53" s="4" t="inlineStr">
        <is>
          <t>FIN-01</t>
        </is>
      </c>
      <c r="B53" s="4" t="inlineStr">
        <is>
          <t>Finance</t>
        </is>
      </c>
      <c r="C53" s="4" t="inlineStr">
        <is>
          <t>Session de caisse</t>
        </is>
      </c>
      <c r="D53" s="4" t="inlineStr">
        <is>
          <t>MVP</t>
        </is>
      </c>
      <c r="E53" s="4" t="inlineStr">
        <is>
          <t>F12</t>
        </is>
      </c>
      <c r="F53" s="4">
        <f>IFERROR(VLOOKUP($E53,Features!$A$2:$Q$74,6,FALSE),"")</f>
        <v/>
      </c>
      <c r="G53" s="17">
        <f>IFERROR(VLOOKUP($E53,Features!$A$2:$Q$74,15,FALSE),"")</f>
        <v/>
      </c>
    </row>
    <row r="54">
      <c r="A54" s="4" t="inlineStr">
        <is>
          <t>FIN-02</t>
        </is>
      </c>
      <c r="B54" s="4" t="inlineStr">
        <is>
          <t>Finance</t>
        </is>
      </c>
      <c r="C54" s="4" t="inlineStr">
        <is>
          <t>Journal des dépenses</t>
        </is>
      </c>
      <c r="D54" s="4" t="inlineStr">
        <is>
          <t>MVP</t>
        </is>
      </c>
      <c r="E54" s="4" t="inlineStr">
        <is>
          <t>F13</t>
        </is>
      </c>
      <c r="F54" s="4">
        <f>IFERROR(VLOOKUP($E54,Features!$A$2:$Q$74,6,FALSE),"")</f>
        <v/>
      </c>
      <c r="G54" s="17">
        <f>IFERROR(VLOOKUP($E54,Features!$A$2:$Q$74,15,FALSE),"")</f>
        <v/>
      </c>
    </row>
    <row r="55">
      <c r="A55" s="4" t="inlineStr">
        <is>
          <t>FIN-03</t>
        </is>
      </c>
      <c r="B55" s="4" t="inlineStr">
        <is>
          <t>Finance</t>
        </is>
      </c>
      <c r="C55" s="4" t="inlineStr">
        <is>
          <t>Bordereau de remise</t>
        </is>
      </c>
      <c r="D55" s="4" t="inlineStr">
        <is>
          <t>MVP</t>
        </is>
      </c>
      <c r="E55" s="4" t="inlineStr">
        <is>
          <t>F12</t>
        </is>
      </c>
      <c r="F55" s="4">
        <f>IFERROR(VLOOKUP($E55,Features!$A$2:$Q$74,6,FALSE),"")</f>
        <v/>
      </c>
      <c r="G55" s="17">
        <f>IFERROR(VLOOKUP($E55,Features!$A$2:$Q$74,15,FALSE),"")</f>
        <v/>
      </c>
    </row>
    <row r="56">
      <c r="A56" s="4" t="inlineStr">
        <is>
          <t>FIN-04</t>
        </is>
      </c>
      <c r="B56" s="4" t="inlineStr">
        <is>
          <t>Finance</t>
        </is>
      </c>
      <c r="C56" s="4" t="inlineStr">
        <is>
          <t>Comptes de trésorerie</t>
        </is>
      </c>
      <c r="D56" s="4" t="inlineStr">
        <is>
          <t>MVP</t>
        </is>
      </c>
      <c r="E56" s="4" t="inlineStr">
        <is>
          <t>F09</t>
        </is>
      </c>
      <c r="F56" s="4">
        <f>IFERROR(VLOOKUP($E56,Features!$A$2:$Q$74,6,FALSE),"")</f>
        <v/>
      </c>
      <c r="G56" s="17">
        <f>IFERROR(VLOOKUP($E56,Features!$A$2:$Q$74,15,FALSE),"")</f>
        <v/>
      </c>
    </row>
    <row r="57">
      <c r="A57" s="4" t="inlineStr">
        <is>
          <t>FIN-05</t>
        </is>
      </c>
      <c r="B57" s="4" t="inlineStr">
        <is>
          <t>Finance</t>
        </is>
      </c>
      <c r="C57" s="4" t="inlineStr">
        <is>
          <t>Résultat mensuel</t>
        </is>
      </c>
      <c r="D57" s="4" t="inlineStr">
        <is>
          <t>MVP</t>
        </is>
      </c>
      <c r="E57" s="4" t="inlineStr">
        <is>
          <t>F13</t>
        </is>
      </c>
      <c r="F57" s="4">
        <f>IFERROR(VLOOKUP($E57,Features!$A$2:$Q$74,6,FALSE),"")</f>
        <v/>
      </c>
      <c r="G57" s="17">
        <f>IFERROR(VLOOKUP($E57,Features!$A$2:$Q$74,15,FALSE),"")</f>
        <v/>
      </c>
    </row>
    <row r="58">
      <c r="A58" s="4" t="inlineStr">
        <is>
          <t>CPT-02</t>
        </is>
      </c>
      <c r="B58" s="4" t="inlineStr">
        <is>
          <t>Comptabilité</t>
        </is>
      </c>
      <c r="C58" s="4" t="inlineStr">
        <is>
          <t>Taxes paramétrables</t>
        </is>
      </c>
      <c r="D58" s="4" t="inlineStr">
        <is>
          <t>MVP</t>
        </is>
      </c>
      <c r="E58" s="4" t="inlineStr">
        <is>
          <t>F08</t>
        </is>
      </c>
      <c r="F58" s="4">
        <f>IFERROR(VLOOKUP($E58,Features!$A$2:$Q$74,6,FALSE),"")</f>
        <v/>
      </c>
      <c r="G58" s="17">
        <f>IFERROR(VLOOKUP($E58,Features!$A$2:$Q$74,15,FALSE),"")</f>
        <v/>
      </c>
    </row>
    <row r="59">
      <c r="A59" s="4" t="inlineStr">
        <is>
          <t>ADM-01</t>
        </is>
      </c>
      <c r="B59" s="4" t="inlineStr">
        <is>
          <t>Administration</t>
        </is>
      </c>
      <c r="C59" s="4" t="inlineStr">
        <is>
          <t>Paramètres du club</t>
        </is>
      </c>
      <c r="D59" s="4" t="inlineStr">
        <is>
          <t>MVP</t>
        </is>
      </c>
      <c r="E59" s="4" t="inlineStr">
        <is>
          <t>F01</t>
        </is>
      </c>
      <c r="F59" s="4">
        <f>IFERROR(VLOOKUP($E59,Features!$A$2:$Q$74,6,FALSE),"")</f>
        <v/>
      </c>
      <c r="G59" s="17">
        <f>IFERROR(VLOOKUP($E59,Features!$A$2:$Q$74,15,FALSE),"")</f>
        <v/>
      </c>
    </row>
    <row r="60">
      <c r="A60" s="4" t="inlineStr">
        <is>
          <t>ADM-04</t>
        </is>
      </c>
      <c r="B60" s="4" t="inlineStr">
        <is>
          <t>Administration</t>
        </is>
      </c>
      <c r="C60" s="4" t="inlineStr">
        <is>
          <t>Modèles de documents</t>
        </is>
      </c>
      <c r="D60" s="4" t="inlineStr">
        <is>
          <t>MVP</t>
        </is>
      </c>
      <c r="E60" s="4" t="inlineStr">
        <is>
          <t>F03</t>
        </is>
      </c>
      <c r="F60" s="4">
        <f>IFERROR(VLOOKUP($E60,Features!$A$2:$Q$74,6,FALSE),"")</f>
        <v/>
      </c>
      <c r="G60" s="17">
        <f>IFERROR(VLOOKUP($E60,Features!$A$2:$Q$74,15,FALSE),"")</f>
        <v/>
      </c>
    </row>
    <row r="61">
      <c r="A61" s="4" t="inlineStr">
        <is>
          <t>SEC-01</t>
        </is>
      </c>
      <c r="B61" s="4" t="inlineStr">
        <is>
          <t>Sécurité</t>
        </is>
      </c>
      <c r="C61" s="4" t="inlineStr">
        <is>
          <t>Authentification</t>
        </is>
      </c>
      <c r="D61" s="4" t="inlineStr">
        <is>
          <t>MVP</t>
        </is>
      </c>
      <c r="E61" s="4" t="inlineStr">
        <is>
          <t>F01</t>
        </is>
      </c>
      <c r="F61" s="4">
        <f>IFERROR(VLOOKUP($E61,Features!$A$2:$Q$74,6,FALSE),"")</f>
        <v/>
      </c>
      <c r="G61" s="17">
        <f>IFERROR(VLOOKUP($E61,Features!$A$2:$Q$74,15,FALSE),"")</f>
        <v/>
      </c>
    </row>
    <row r="62">
      <c r="A62" s="4" t="inlineStr">
        <is>
          <t>SEC-02</t>
        </is>
      </c>
      <c r="B62" s="4" t="inlineStr">
        <is>
          <t>Sécurité</t>
        </is>
      </c>
      <c r="C62" s="4" t="inlineStr">
        <is>
          <t>Rôles et permissions</t>
        </is>
      </c>
      <c r="D62" s="4" t="inlineStr">
        <is>
          <t>MVP</t>
        </is>
      </c>
      <c r="E62" s="4" t="inlineStr">
        <is>
          <t>F01</t>
        </is>
      </c>
      <c r="F62" s="4">
        <f>IFERROR(VLOOKUP($E62,Features!$A$2:$Q$74,6,FALSE),"")</f>
        <v/>
      </c>
      <c r="G62" s="17">
        <f>IFERROR(VLOOKUP($E62,Features!$A$2:$Q$74,15,FALSE),"")</f>
        <v/>
      </c>
    </row>
    <row r="63">
      <c r="A63" s="4" t="inlineStr">
        <is>
          <t>SEC-03</t>
        </is>
      </c>
      <c r="B63" s="4" t="inlineStr">
        <is>
          <t>Sécurité</t>
        </is>
      </c>
      <c r="C63" s="4" t="inlineStr">
        <is>
          <t>Données sensibles</t>
        </is>
      </c>
      <c r="D63" s="4" t="inlineStr">
        <is>
          <t>MVP</t>
        </is>
      </c>
      <c r="E63" s="4" t="inlineStr">
        <is>
          <t>F01</t>
        </is>
      </c>
      <c r="F63" s="4">
        <f>IFERROR(VLOOKUP($E63,Features!$A$2:$Q$74,6,FALSE),"")</f>
        <v/>
      </c>
      <c r="G63" s="17">
        <f>IFERROR(VLOOKUP($E63,Features!$A$2:$Q$74,15,FALSE),"")</f>
        <v/>
      </c>
    </row>
    <row r="64">
      <c r="A64" s="4" t="inlineStr">
        <is>
          <t>SEC-04</t>
        </is>
      </c>
      <c r="B64" s="4" t="inlineStr">
        <is>
          <t>Sécurité</t>
        </is>
      </c>
      <c r="C64" s="4" t="inlineStr">
        <is>
          <t>Journal d'audit</t>
        </is>
      </c>
      <c r="D64" s="4" t="inlineStr">
        <is>
          <t>MVP</t>
        </is>
      </c>
      <c r="E64" s="4" t="inlineStr">
        <is>
          <t>F01</t>
        </is>
      </c>
      <c r="F64" s="4">
        <f>IFERROR(VLOOKUP($E64,Features!$A$2:$Q$74,6,FALSE),"")</f>
        <v/>
      </c>
      <c r="G64" s="17">
        <f>IFERROR(VLOOKUP($E64,Features!$A$2:$Q$74,15,FALSE),"")</f>
        <v/>
      </c>
    </row>
    <row r="65">
      <c r="A65" s="4" t="inlineStr">
        <is>
          <t>INT-03</t>
        </is>
      </c>
      <c r="B65" s="4" t="inlineStr">
        <is>
          <t>API / Intégrations</t>
        </is>
      </c>
      <c r="C65" s="4" t="inlineStr">
        <is>
          <t>Exports</t>
        </is>
      </c>
      <c r="D65" s="4" t="inlineStr">
        <is>
          <t>MVP</t>
        </is>
      </c>
      <c r="E65" s="4" t="inlineStr">
        <is>
          <t>F01</t>
        </is>
      </c>
      <c r="F65" s="4">
        <f>IFERROR(VLOOKUP($E65,Features!$A$2:$Q$74,6,FALSE),"")</f>
        <v/>
      </c>
      <c r="G65" s="17">
        <f>IFERROR(VLOOKUP($E65,Features!$A$2:$Q$74,15,FALSE),"")</f>
        <v/>
      </c>
    </row>
    <row r="66">
      <c r="A66" s="4" t="inlineStr">
        <is>
          <t>PLT-01</t>
        </is>
      </c>
      <c r="B66" s="4" t="inlineStr">
        <is>
          <t>Multi-clubs / multi-sites</t>
        </is>
      </c>
      <c r="C66" s="4" t="inlineStr">
        <is>
          <t>Multi-tenant</t>
        </is>
      </c>
      <c r="D66" s="4" t="inlineStr">
        <is>
          <t>MVP</t>
        </is>
      </c>
      <c r="E66" s="4" t="inlineStr">
        <is>
          <t>F01</t>
        </is>
      </c>
      <c r="F66" s="4">
        <f>IFERROR(VLOOKUP($E66,Features!$A$2:$Q$74,6,FALSE),"")</f>
        <v/>
      </c>
      <c r="G66" s="17">
        <f>IFERROR(VLOOKUP($E66,Features!$A$2:$Q$74,15,FALSE),"")</f>
        <v/>
      </c>
    </row>
    <row r="67">
      <c r="A67" s="4" t="inlineStr">
        <is>
          <t>PLT-04</t>
        </is>
      </c>
      <c r="B67" s="4" t="inlineStr">
        <is>
          <t>Multi-clubs / multi-sites</t>
        </is>
      </c>
      <c r="C67" s="4" t="inlineStr">
        <is>
          <t>Bus d'événements métier</t>
        </is>
      </c>
      <c r="D67" s="4" t="inlineStr">
        <is>
          <t>MVP</t>
        </is>
      </c>
      <c r="E67" s="4" t="inlineStr">
        <is>
          <t>F01</t>
        </is>
      </c>
      <c r="F67" s="4">
        <f>IFERROR(VLOOKUP($E67,Features!$A$2:$Q$74,6,FALSE),"")</f>
        <v/>
      </c>
      <c r="G67" s="17">
        <f>IFERROR(VLOOKUP($E67,Features!$A$2:$Q$74,15,FALSE),"")</f>
        <v/>
      </c>
    </row>
    <row r="68">
      <c r="A68" s="4" t="inlineStr">
        <is>
          <t>PLT-05</t>
        </is>
      </c>
      <c r="B68" s="4" t="inlineStr">
        <is>
          <t>Multi-clubs / multi-sites</t>
        </is>
      </c>
      <c r="C68" s="4" t="inlineStr">
        <is>
          <t>Gestion documentaire</t>
        </is>
      </c>
      <c r="D68" s="4" t="inlineStr">
        <is>
          <t>MVP</t>
        </is>
      </c>
      <c r="E68" s="4" t="inlineStr">
        <is>
          <t>F01</t>
        </is>
      </c>
      <c r="F68" s="4">
        <f>IFERROR(VLOOKUP($E68,Features!$A$2:$Q$74,6,FALSE),"")</f>
        <v/>
      </c>
      <c r="G68" s="17">
        <f>IFERROR(VLOOKUP($E68,Features!$A$2:$Q$74,15,FALSE),"")</f>
        <v/>
      </c>
    </row>
    <row r="69">
      <c r="A69" s="4" t="inlineStr">
        <is>
          <t>OFR-01</t>
        </is>
      </c>
      <c r="B69" s="4" t="inlineStr">
        <is>
          <t>Paramétrage de l'offre</t>
        </is>
      </c>
      <c r="C69" s="4" t="inlineStr">
        <is>
          <t>Formule paramétrable</t>
        </is>
      </c>
      <c r="D69" s="4" t="inlineStr">
        <is>
          <t>MVP</t>
        </is>
      </c>
      <c r="E69" s="4" t="inlineStr">
        <is>
          <t>F05</t>
        </is>
      </c>
      <c r="F69" s="4">
        <f>IFERROR(VLOOKUP($E69,Features!$A$2:$Q$74,6,FALSE),"")</f>
        <v/>
      </c>
      <c r="G69" s="17">
        <f>IFERROR(VLOOKUP($E69,Features!$A$2:$Q$74,15,FALSE),"")</f>
        <v/>
      </c>
    </row>
    <row r="70">
      <c r="A70" s="4" t="inlineStr">
        <is>
          <t>OFR-02</t>
        </is>
      </c>
      <c r="B70" s="4" t="inlineStr">
        <is>
          <t>Paramétrage de l'offre</t>
        </is>
      </c>
      <c r="C70" s="4" t="inlineStr">
        <is>
          <t>Forfait combiné</t>
        </is>
      </c>
      <c r="D70" s="4" t="inlineStr">
        <is>
          <t>MVP</t>
        </is>
      </c>
      <c r="E70" s="4" t="inlineStr">
        <is>
          <t>F05</t>
        </is>
      </c>
      <c r="F70" s="4">
        <f>IFERROR(VLOOKUP($E70,Features!$A$2:$Q$74,6,FALSE),"")</f>
        <v/>
      </c>
      <c r="G70" s="17">
        <f>IFERROR(VLOOKUP($E70,Features!$A$2:$Q$74,15,FALSE),"")</f>
        <v/>
      </c>
    </row>
    <row r="71">
      <c r="A71" s="4" t="inlineStr">
        <is>
          <t>OFR-03</t>
        </is>
      </c>
      <c r="B71" s="4" t="inlineStr">
        <is>
          <t>Paramétrage de l'offre</t>
        </is>
      </c>
      <c r="C71" s="4" t="inlineStr">
        <is>
          <t>Règles de combinaison</t>
        </is>
      </c>
      <c r="D71" s="4" t="inlineStr">
        <is>
          <t>MVP</t>
        </is>
      </c>
      <c r="E71" s="4" t="inlineStr">
        <is>
          <t>F05</t>
        </is>
      </c>
      <c r="F71" s="4">
        <f>IFERROR(VLOOKUP($E71,Features!$A$2:$Q$74,6,FALSE),"")</f>
        <v/>
      </c>
      <c r="G71" s="17">
        <f>IFERROR(VLOOKUP($E71,Features!$A$2:$Q$74,15,FALSE),"")</f>
        <v/>
      </c>
    </row>
    <row r="72">
      <c r="A72" s="4" t="inlineStr">
        <is>
          <t>OFR-04</t>
        </is>
      </c>
      <c r="B72" s="4" t="inlineStr">
        <is>
          <t>Paramétrage de l'offre</t>
        </is>
      </c>
      <c r="C72" s="4" t="inlineStr">
        <is>
          <t>Matrice de prix éditable</t>
        </is>
      </c>
      <c r="D72" s="4" t="inlineStr">
        <is>
          <t>MVP</t>
        </is>
      </c>
      <c r="E72" s="4" t="inlineStr">
        <is>
          <t>F05</t>
        </is>
      </c>
      <c r="F72" s="4">
        <f>IFERROR(VLOOKUP($E72,Features!$A$2:$Q$74,6,FALSE),"")</f>
        <v/>
      </c>
      <c r="G72" s="17">
        <f>IFERROR(VLOOKUP($E72,Features!$A$2:$Q$74,15,FALSE),"")</f>
        <v/>
      </c>
    </row>
    <row r="73">
      <c r="A73" s="4" t="inlineStr">
        <is>
          <t>OFR-05</t>
        </is>
      </c>
      <c r="B73" s="4" t="inlineStr">
        <is>
          <t>Paramétrage de l'offre</t>
        </is>
      </c>
      <c r="C73" s="4" t="inlineStr">
        <is>
          <t>Simulateur de prix</t>
        </is>
      </c>
      <c r="D73" s="4" t="inlineStr">
        <is>
          <t>MVP</t>
        </is>
      </c>
      <c r="E73" s="4" t="inlineStr">
        <is>
          <t>F05</t>
        </is>
      </c>
      <c r="F73" s="4">
        <f>IFERROR(VLOOKUP($E73,Features!$A$2:$Q$74,6,FALSE),"")</f>
        <v/>
      </c>
      <c r="G73" s="17">
        <f>IFERROR(VLOOKUP($E73,Features!$A$2:$Q$74,15,FALSE),"")</f>
        <v/>
      </c>
    </row>
    <row r="75">
      <c r="A75" s="9" t="inlineStr">
        <is>
          <t>R1 — Comptoir</t>
        </is>
      </c>
    </row>
  </sheetData>
  <autoFilter ref="A1:G73"/>
  <conditionalFormatting sqref="F2:F73">
    <cfRule type="cellIs" priority="1" operator="equal" dxfId="0">
      <formula>"Waiting"</formula>
    </cfRule>
    <cfRule type="cellIs" priority="2" operator="equal" dxfId="1">
      <formula>"Cadrage"</formula>
    </cfRule>
    <cfRule type="cellIs" priority="3" operator="equal" dxfId="2">
      <formula>"Dev"</formula>
    </cfRule>
    <cfRule type="cellIs" priority="4" operator="equal" dxfId="3">
      <formula>"In test"</formula>
    </cfRule>
    <cfRule type="cellIs" priority="5" operator="equal" dxfId="4">
      <formula>"Production"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6" customWidth="1" min="2" max="2"/>
    <col width="44" customWidth="1" min="3" max="3"/>
    <col width="9" customWidth="1" min="4" max="4"/>
    <col width="10" customWidth="1" min="5" max="5"/>
    <col width="12" customWidth="1" min="6" max="6"/>
    <col width="15" customWidth="1" min="7" max="7"/>
  </cols>
  <sheetData>
    <row r="1" ht="30" customHeight="1">
      <c r="A1" s="16" t="inlineStr">
        <is>
          <t>ID</t>
        </is>
      </c>
      <c r="B1" s="16" t="inlineStr">
        <is>
          <t>Domaine</t>
        </is>
      </c>
      <c r="C1" s="16" t="inlineStr">
        <is>
          <t>Libellé</t>
        </is>
      </c>
      <c r="D1" s="16" t="inlineStr">
        <is>
          <t>Cahier</t>
        </is>
      </c>
      <c r="E1" s="16" t="inlineStr">
        <is>
          <t>Feature</t>
        </is>
      </c>
      <c r="F1" s="16" t="inlineStr">
        <is>
          <t>État</t>
        </is>
      </c>
      <c r="G1" s="16" t="inlineStr">
        <is>
          <t>Date production</t>
        </is>
      </c>
    </row>
    <row r="2">
      <c r="A2" s="4" t="inlineStr">
        <is>
          <t>FAM-09</t>
        </is>
      </c>
      <c r="B2" s="4" t="inlineStr">
        <is>
          <t>Familles / Adhérents</t>
        </is>
      </c>
      <c r="C2" s="4" t="inlineStr">
        <is>
          <t>Adhérent adulte</t>
        </is>
      </c>
      <c r="D2" s="4" t="inlineStr">
        <is>
          <t>MVP</t>
        </is>
      </c>
      <c r="E2" s="4" t="inlineStr">
        <is>
          <t>F23</t>
        </is>
      </c>
      <c r="F2" s="4">
        <f>IFERROR(VLOOKUP($E2,Features!$A$2:$Q$74,6,FALSE),"")</f>
        <v/>
      </c>
      <c r="G2" s="17">
        <f>IFERROR(VLOOKUP($E2,Features!$A$2:$Q$74,15,FALSE),"")</f>
        <v/>
      </c>
    </row>
    <row r="3">
      <c r="A3" s="4" t="inlineStr">
        <is>
          <t>GRP-06</t>
        </is>
      </c>
      <c r="B3" s="4" t="inlineStr">
        <is>
          <t>Groupes</t>
        </is>
      </c>
      <c r="C3" s="4" t="inlineStr">
        <is>
          <t>Impression du roster</t>
        </is>
      </c>
      <c r="D3" s="4" t="inlineStr">
        <is>
          <t>MVP</t>
        </is>
      </c>
      <c r="E3" s="4" t="inlineStr">
        <is>
          <t>F20</t>
        </is>
      </c>
      <c r="F3" s="4">
        <f>IFERROR(VLOOKUP($E3,Features!$A$2:$Q$74,6,FALSE),"")</f>
        <v/>
      </c>
      <c r="G3" s="17">
        <f>IFERROR(VLOOKUP($E3,Features!$A$2:$Q$74,15,FALSE),"")</f>
        <v/>
      </c>
    </row>
    <row r="4">
      <c r="A4" s="4" t="inlineStr">
        <is>
          <t>PLA-03</t>
        </is>
      </c>
      <c r="B4" s="4" t="inlineStr">
        <is>
          <t>Planning</t>
        </is>
      </c>
      <c r="C4" s="4" t="inlineStr">
        <is>
          <t>Génération des séances</t>
        </is>
      </c>
      <c r="D4" s="4" t="inlineStr">
        <is>
          <t>MVP</t>
        </is>
      </c>
      <c r="E4" s="4" t="inlineStr">
        <is>
          <t>F18</t>
        </is>
      </c>
      <c r="F4" s="4">
        <f>IFERROR(VLOOKUP($E4,Features!$A$2:$Q$74,6,FALSE),"")</f>
        <v/>
      </c>
      <c r="G4" s="17">
        <f>IFERROR(VLOOKUP($E4,Features!$A$2:$Q$74,15,FALSE),"")</f>
        <v/>
      </c>
    </row>
    <row r="5">
      <c r="A5" s="4" t="inlineStr">
        <is>
          <t>PLA-04</t>
        </is>
      </c>
      <c r="B5" s="4" t="inlineStr">
        <is>
          <t>Planning</t>
        </is>
      </c>
      <c r="C5" s="4" t="inlineStr">
        <is>
          <t>Vues jour, semaine, mois</t>
        </is>
      </c>
      <c r="D5" s="4" t="inlineStr">
        <is>
          <t>MVP</t>
        </is>
      </c>
      <c r="E5" s="4" t="inlineStr">
        <is>
          <t>F18</t>
        </is>
      </c>
      <c r="F5" s="4">
        <f>IFERROR(VLOOKUP($E5,Features!$A$2:$Q$74,6,FALSE),"")</f>
        <v/>
      </c>
      <c r="G5" s="17">
        <f>IFERROR(VLOOKUP($E5,Features!$A$2:$Q$74,15,FALSE),"")</f>
        <v/>
      </c>
    </row>
    <row r="6">
      <c r="A6" s="4" t="inlineStr">
        <is>
          <t>PLA-07</t>
        </is>
      </c>
      <c r="B6" s="4" t="inlineStr">
        <is>
          <t>Planning</t>
        </is>
      </c>
      <c r="C6" s="4" t="inlineStr">
        <is>
          <t>Remplacement de coach</t>
        </is>
      </c>
      <c r="D6" s="4" t="inlineStr">
        <is>
          <t>MVP</t>
        </is>
      </c>
      <c r="E6" s="4" t="inlineStr">
        <is>
          <t>F19</t>
        </is>
      </c>
      <c r="F6" s="4">
        <f>IFERROR(VLOOKUP($E6,Features!$A$2:$Q$74,6,FALSE),"")</f>
        <v/>
      </c>
      <c r="G6" s="17">
        <f>IFERROR(VLOOKUP($E6,Features!$A$2:$Q$74,15,FALSE),"")</f>
        <v/>
      </c>
    </row>
    <row r="7">
      <c r="A7" s="4" t="inlineStr">
        <is>
          <t>PLA-08</t>
        </is>
      </c>
      <c r="B7" s="4" t="inlineStr">
        <is>
          <t>Planning</t>
        </is>
      </c>
      <c r="C7" s="4" t="inlineStr">
        <is>
          <t>Séance ponctuelle</t>
        </is>
      </c>
      <c r="D7" s="4" t="inlineStr">
        <is>
          <t>MVP</t>
        </is>
      </c>
      <c r="E7" s="4" t="inlineStr">
        <is>
          <t>F19</t>
        </is>
      </c>
      <c r="F7" s="4">
        <f>IFERROR(VLOOKUP($E7,Features!$A$2:$Q$74,6,FALSE),"")</f>
        <v/>
      </c>
      <c r="G7" s="17">
        <f>IFERROR(VLOOKUP($E7,Features!$A$2:$Q$74,15,FALSE),"")</f>
        <v/>
      </c>
    </row>
    <row r="8">
      <c r="A8" s="4" t="inlineStr">
        <is>
          <t>PLA-09</t>
        </is>
      </c>
      <c r="B8" s="4" t="inlineStr">
        <is>
          <t>Planning</t>
        </is>
      </c>
      <c r="C8" s="4" t="inlineStr">
        <is>
          <t>Horaires spéciaux</t>
        </is>
      </c>
      <c r="D8" s="4" t="inlineStr">
        <is>
          <t>V2</t>
        </is>
      </c>
      <c r="E8" s="4" t="inlineStr">
        <is>
          <t>F19</t>
        </is>
      </c>
      <c r="F8" s="4">
        <f>IFERROR(VLOOKUP($E8,Features!$A$2:$Q$74,6,FALSE),"")</f>
        <v/>
      </c>
      <c r="G8" s="17">
        <f>IFERROR(VLOOKUP($E8,Features!$A$2:$Q$74,15,FALSE),"")</f>
        <v/>
      </c>
    </row>
    <row r="9">
      <c r="A9" s="4" t="inlineStr">
        <is>
          <t>PLA-10</t>
        </is>
      </c>
      <c r="B9" s="4" t="inlineStr">
        <is>
          <t>Planning</t>
        </is>
      </c>
      <c r="C9" s="4" t="inlineStr">
        <is>
          <t>Planning publiable</t>
        </is>
      </c>
      <c r="D9" s="4" t="inlineStr">
        <is>
          <t>V2</t>
        </is>
      </c>
      <c r="E9" s="4" t="inlineStr">
        <is>
          <t>F21</t>
        </is>
      </c>
      <c r="F9" s="4">
        <f>IFERROR(VLOOKUP($E9,Features!$A$2:$Q$74,6,FALSE),"")</f>
        <v/>
      </c>
      <c r="G9" s="17">
        <f>IFERROR(VLOOKUP($E9,Features!$A$2:$Q$74,15,FALSE),"")</f>
        <v/>
      </c>
    </row>
    <row r="10">
      <c r="A10" s="4" t="inlineStr">
        <is>
          <t>RES-01</t>
        </is>
      </c>
      <c r="B10" s="4" t="inlineStr">
        <is>
          <t>Réservations</t>
        </is>
      </c>
      <c r="C10" s="4" t="inlineStr">
        <is>
          <t>Cours d'essai</t>
        </is>
      </c>
      <c r="D10" s="4" t="inlineStr">
        <is>
          <t>MVP</t>
        </is>
      </c>
      <c r="E10" s="4" t="inlineStr">
        <is>
          <t>F22</t>
        </is>
      </c>
      <c r="F10" s="4">
        <f>IFERROR(VLOOKUP($E10,Features!$A$2:$Q$74,6,FALSE),"")</f>
        <v/>
      </c>
      <c r="G10" s="17">
        <f>IFERROR(VLOOKUP($E10,Features!$A$2:$Q$74,15,FALSE),"")</f>
        <v/>
      </c>
    </row>
    <row r="11">
      <c r="A11" s="4" t="inlineStr">
        <is>
          <t>RES-06</t>
        </is>
      </c>
      <c r="B11" s="4" t="inlineStr">
        <is>
          <t>Réservations</t>
        </is>
      </c>
      <c r="C11" s="4" t="inlineStr">
        <is>
          <t>Cours privé</t>
        </is>
      </c>
      <c r="D11" s="4" t="inlineStr">
        <is>
          <t>MVP</t>
        </is>
      </c>
      <c r="E11" s="4" t="inlineStr">
        <is>
          <t>F23</t>
        </is>
      </c>
      <c r="F11" s="4">
        <f>IFERROR(VLOOKUP($E11,Features!$A$2:$Q$74,6,FALSE),"")</f>
        <v/>
      </c>
      <c r="G11" s="17">
        <f>IFERROR(VLOOKUP($E11,Features!$A$2:$Q$74,15,FALSE),"")</f>
        <v/>
      </c>
    </row>
    <row r="12">
      <c r="A12" s="4" t="inlineStr">
        <is>
          <t>INS-07</t>
        </is>
      </c>
      <c r="B12" s="4" t="inlineStr">
        <is>
          <t>Abonnements / Inscriptions</t>
        </is>
      </c>
      <c r="C12" s="4" t="inlineStr">
        <is>
          <t>Résiliation</t>
        </is>
      </c>
      <c r="D12" s="4" t="inlineStr">
        <is>
          <t>MVP</t>
        </is>
      </c>
      <c r="E12" s="4" t="inlineStr">
        <is>
          <t>F24</t>
        </is>
      </c>
      <c r="F12" s="4">
        <f>IFERROR(VLOOKUP($E12,Features!$A$2:$Q$74,6,FALSE),"")</f>
        <v/>
      </c>
      <c r="G12" s="17">
        <f>IFERROR(VLOOKUP($E12,Features!$A$2:$Q$74,15,FALSE),"")</f>
        <v/>
      </c>
    </row>
    <row r="13">
      <c r="A13" s="4" t="inlineStr">
        <is>
          <t>INS-08</t>
        </is>
      </c>
      <c r="B13" s="4" t="inlineStr">
        <is>
          <t>Abonnements / Inscriptions</t>
        </is>
      </c>
      <c r="C13" s="4" t="inlineStr">
        <is>
          <t>Changement d'activité</t>
        </is>
      </c>
      <c r="D13" s="4" t="inlineStr">
        <is>
          <t>MVP</t>
        </is>
      </c>
      <c r="E13" s="4" t="inlineStr">
        <is>
          <t>F24</t>
        </is>
      </c>
      <c r="F13" s="4">
        <f>IFERROR(VLOOKUP($E13,Features!$A$2:$Q$74,6,FALSE),"")</f>
        <v/>
      </c>
      <c r="G13" s="17">
        <f>IFERROR(VLOOKUP($E13,Features!$A$2:$Q$74,15,FALSE),"")</f>
        <v/>
      </c>
    </row>
    <row r="14">
      <c r="A14" s="4" t="inlineStr">
        <is>
          <t>COA-01</t>
        </is>
      </c>
      <c r="B14" s="4" t="inlineStr">
        <is>
          <t>Coachs</t>
        </is>
      </c>
      <c r="C14" s="4" t="inlineStr">
        <is>
          <t>Profil intervenant</t>
        </is>
      </c>
      <c r="D14" s="4" t="inlineStr">
        <is>
          <t>MVP</t>
        </is>
      </c>
      <c r="E14" s="4" t="inlineStr">
        <is>
          <t>F17</t>
        </is>
      </c>
      <c r="F14" s="4">
        <f>IFERROR(VLOOKUP($E14,Features!$A$2:$Q$74,6,FALSE),"")</f>
        <v/>
      </c>
      <c r="G14" s="17">
        <f>IFERROR(VLOOKUP($E14,Features!$A$2:$Q$74,15,FALSE),"")</f>
        <v/>
      </c>
    </row>
    <row r="15">
      <c r="A15" s="4" t="inlineStr">
        <is>
          <t>COA-03</t>
        </is>
      </c>
      <c r="B15" s="4" t="inlineStr">
        <is>
          <t>Coachs</t>
        </is>
      </c>
      <c r="C15" s="4" t="inlineStr">
        <is>
          <t>Planning du coach</t>
        </is>
      </c>
      <c r="D15" s="4" t="inlineStr">
        <is>
          <t>MVP</t>
        </is>
      </c>
      <c r="E15" s="4" t="inlineStr">
        <is>
          <t>F20</t>
        </is>
      </c>
      <c r="F15" s="4">
        <f>IFERROR(VLOOKUP($E15,Features!$A$2:$Q$74,6,FALSE),"")</f>
        <v/>
      </c>
      <c r="G15" s="17">
        <f>IFERROR(VLOOKUP($E15,Features!$A$2:$Q$74,15,FALSE),"")</f>
        <v/>
      </c>
    </row>
    <row r="16">
      <c r="A16" s="4" t="inlineStr">
        <is>
          <t>APC-01</t>
        </is>
      </c>
      <c r="B16" s="4" t="inlineStr">
        <is>
          <t>Application coach</t>
        </is>
      </c>
      <c r="C16" s="4" t="inlineStr">
        <is>
          <t>Mes séances du jour</t>
        </is>
      </c>
      <c r="D16" s="4" t="inlineStr">
        <is>
          <t>MVP</t>
        </is>
      </c>
      <c r="E16" s="4" t="inlineStr">
        <is>
          <t>F20</t>
        </is>
      </c>
      <c r="F16" s="4">
        <f>IFERROR(VLOOKUP($E16,Features!$A$2:$Q$74,6,FALSE),"")</f>
        <v/>
      </c>
      <c r="G16" s="17">
        <f>IFERROR(VLOOKUP($E16,Features!$A$2:$Q$74,15,FALSE),"")</f>
        <v/>
      </c>
    </row>
    <row r="17">
      <c r="A17" s="4" t="inlineStr">
        <is>
          <t>OFR-06</t>
        </is>
      </c>
      <c r="B17" s="4" t="inlineStr">
        <is>
          <t>Paramétrage de l'offre</t>
        </is>
      </c>
      <c r="C17" s="4" t="inlineStr">
        <is>
          <t>Brouillon et publication</t>
        </is>
      </c>
      <c r="D17" s="4" t="inlineStr">
        <is>
          <t>MVP</t>
        </is>
      </c>
      <c r="E17" s="4" t="inlineStr">
        <is>
          <t>F25</t>
        </is>
      </c>
      <c r="F17" s="4">
        <f>IFERROR(VLOOKUP($E17,Features!$A$2:$Q$74,6,FALSE),"")</f>
        <v/>
      </c>
      <c r="G17" s="17">
        <f>IFERROR(VLOOKUP($E17,Features!$A$2:$Q$74,15,FALSE),"")</f>
        <v/>
      </c>
    </row>
    <row r="18">
      <c r="A18" s="4" t="inlineStr">
        <is>
          <t>OFR-07</t>
        </is>
      </c>
      <c r="B18" s="4" t="inlineStr">
        <is>
          <t>Paramétrage de l'offre</t>
        </is>
      </c>
      <c r="C18" s="4" t="inlineStr">
        <is>
          <t>Contrôle de cohérence</t>
        </is>
      </c>
      <c r="D18" s="4" t="inlineStr">
        <is>
          <t>MVP</t>
        </is>
      </c>
      <c r="E18" s="4" t="inlineStr">
        <is>
          <t>F25</t>
        </is>
      </c>
      <c r="F18" s="4">
        <f>IFERROR(VLOOKUP($E18,Features!$A$2:$Q$74,6,FALSE),"")</f>
        <v/>
      </c>
      <c r="G18" s="17">
        <f>IFERROR(VLOOKUP($E18,Features!$A$2:$Q$74,15,FALSE),"")</f>
        <v/>
      </c>
    </row>
    <row r="19">
      <c r="A19" s="4" t="inlineStr">
        <is>
          <t>OFR-08</t>
        </is>
      </c>
      <c r="B19" s="4" t="inlineStr">
        <is>
          <t>Paramétrage de l'offre</t>
        </is>
      </c>
      <c r="C19" s="4" t="inlineStr">
        <is>
          <t>Duplication de saison</t>
        </is>
      </c>
      <c r="D19" s="4" t="inlineStr">
        <is>
          <t>V2</t>
        </is>
      </c>
      <c r="E19" s="4" t="inlineStr">
        <is>
          <t>F25</t>
        </is>
      </c>
      <c r="F19" s="4">
        <f>IFERROR(VLOOKUP($E19,Features!$A$2:$Q$74,6,FALSE),"")</f>
        <v/>
      </c>
      <c r="G19" s="17">
        <f>IFERROR(VLOOKUP($E19,Features!$A$2:$Q$74,15,FALSE),"")</f>
        <v/>
      </c>
    </row>
    <row r="21">
      <c r="A21" s="9" t="inlineStr">
        <is>
          <t>R2 — Planning et coachs</t>
        </is>
      </c>
    </row>
  </sheetData>
  <autoFilter ref="A1:G19"/>
  <conditionalFormatting sqref="F2:F19">
    <cfRule type="cellIs" priority="1" operator="equal" dxfId="0">
      <formula>"Waiting"</formula>
    </cfRule>
    <cfRule type="cellIs" priority="2" operator="equal" dxfId="1">
      <formula>"Cadrage"</formula>
    </cfRule>
    <cfRule type="cellIs" priority="3" operator="equal" dxfId="2">
      <formula>"Dev"</formula>
    </cfRule>
    <cfRule type="cellIs" priority="4" operator="equal" dxfId="3">
      <formula>"In test"</formula>
    </cfRule>
    <cfRule type="cellIs" priority="5" operator="equal" dxfId="4">
      <formula>"Production"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6" customWidth="1" min="2" max="2"/>
    <col width="44" customWidth="1" min="3" max="3"/>
    <col width="9" customWidth="1" min="4" max="4"/>
    <col width="10" customWidth="1" min="5" max="5"/>
    <col width="12" customWidth="1" min="6" max="6"/>
    <col width="15" customWidth="1" min="7" max="7"/>
  </cols>
  <sheetData>
    <row r="1" ht="30" customHeight="1">
      <c r="A1" s="16" t="inlineStr">
        <is>
          <t>ID</t>
        </is>
      </c>
      <c r="B1" s="16" t="inlineStr">
        <is>
          <t>Domaine</t>
        </is>
      </c>
      <c r="C1" s="16" t="inlineStr">
        <is>
          <t>Libellé</t>
        </is>
      </c>
      <c r="D1" s="16" t="inlineStr">
        <is>
          <t>Cahier</t>
        </is>
      </c>
      <c r="E1" s="16" t="inlineStr">
        <is>
          <t>Feature</t>
        </is>
      </c>
      <c r="F1" s="16" t="inlineStr">
        <is>
          <t>État</t>
        </is>
      </c>
      <c r="G1" s="16" t="inlineStr">
        <is>
          <t>Date production</t>
        </is>
      </c>
    </row>
    <row r="2">
      <c r="A2" s="4" t="inlineStr">
        <is>
          <t>PLA-06</t>
        </is>
      </c>
      <c r="B2" s="4" t="inlineStr">
        <is>
          <t>Planning</t>
        </is>
      </c>
      <c r="C2" s="4" t="inlineStr">
        <is>
          <t>Annulation, report</t>
        </is>
      </c>
      <c r="D2" s="4" t="inlineStr">
        <is>
          <t>MVP</t>
        </is>
      </c>
      <c r="E2" s="4" t="inlineStr">
        <is>
          <t>F28</t>
        </is>
      </c>
      <c r="F2" s="4">
        <f>IFERROR(VLOOKUP($E2,Features!$A$2:$Q$74,6,FALSE),"")</f>
        <v/>
      </c>
      <c r="G2" s="17">
        <f>IFERROR(VLOOKUP($E2,Features!$A$2:$Q$74,15,FALSE),"")</f>
        <v/>
      </c>
    </row>
    <row r="3">
      <c r="A3" s="4" t="inlineStr">
        <is>
          <t>INS-04</t>
        </is>
      </c>
      <c r="B3" s="4" t="inlineStr">
        <is>
          <t>Abonnements / Inscriptions</t>
        </is>
      </c>
      <c r="C3" s="4" t="inlineStr">
        <is>
          <t>Renouvellement</t>
        </is>
      </c>
      <c r="D3" s="4" t="inlineStr">
        <is>
          <t>MVP</t>
        </is>
      </c>
      <c r="E3" s="4" t="inlineStr">
        <is>
          <t>F31</t>
        </is>
      </c>
      <c r="F3" s="4">
        <f>IFERROR(VLOOKUP($E3,Features!$A$2:$Q$74,6,FALSE),"")</f>
        <v/>
      </c>
      <c r="G3" s="17">
        <f>IFERROR(VLOOKUP($E3,Features!$A$2:$Q$74,15,FALSE),"")</f>
        <v/>
      </c>
    </row>
    <row r="4">
      <c r="A4" s="4" t="inlineStr">
        <is>
          <t>INS-09</t>
        </is>
      </c>
      <c r="B4" s="4" t="inlineStr">
        <is>
          <t>Abonnements / Inscriptions</t>
        </is>
      </c>
      <c r="C4" s="4" t="inlineStr">
        <is>
          <t>Alerte d'expiration</t>
        </is>
      </c>
      <c r="D4" s="4" t="inlineStr">
        <is>
          <t>MVP</t>
        </is>
      </c>
      <c r="E4" s="4" t="inlineStr">
        <is>
          <t>F27</t>
        </is>
      </c>
      <c r="F4" s="4">
        <f>IFERROR(VLOOKUP($E4,Features!$A$2:$Q$74,6,FALSE),"")</f>
        <v/>
      </c>
      <c r="G4" s="17">
        <f>IFERROR(VLOOKUP($E4,Features!$A$2:$Q$74,15,FALSE),"")</f>
        <v/>
      </c>
    </row>
    <row r="5">
      <c r="A5" s="4" t="inlineStr">
        <is>
          <t>IMP-02</t>
        </is>
      </c>
      <c r="B5" s="4" t="inlineStr">
        <is>
          <t>Impayés</t>
        </is>
      </c>
      <c r="C5" s="4" t="inlineStr">
        <is>
          <t>Relances échelonnées</t>
        </is>
      </c>
      <c r="D5" s="4" t="inlineStr">
        <is>
          <t>MVP</t>
        </is>
      </c>
      <c r="E5" s="4" t="inlineStr">
        <is>
          <t>F30</t>
        </is>
      </c>
      <c r="F5" s="4">
        <f>IFERROR(VLOOKUP($E5,Features!$A$2:$Q$74,6,FALSE),"")</f>
        <v/>
      </c>
      <c r="G5" s="17">
        <f>IFERROR(VLOOKUP($E5,Features!$A$2:$Q$74,15,FALSE),"")</f>
        <v/>
      </c>
    </row>
    <row r="6">
      <c r="A6" s="4" t="inlineStr">
        <is>
          <t>IMP-03</t>
        </is>
      </c>
      <c r="B6" s="4" t="inlineStr">
        <is>
          <t>Impayés</t>
        </is>
      </c>
      <c r="C6" s="4" t="inlineStr">
        <is>
          <t>Promesse de paiement</t>
        </is>
      </c>
      <c r="D6" s="4" t="inlineStr">
        <is>
          <t>MVP</t>
        </is>
      </c>
      <c r="E6" s="4" t="inlineStr">
        <is>
          <t>F30</t>
        </is>
      </c>
      <c r="F6" s="4">
        <f>IFERROR(VLOOKUP($E6,Features!$A$2:$Q$74,6,FALSE),"")</f>
        <v/>
      </c>
      <c r="G6" s="17">
        <f>IFERROR(VLOOKUP($E6,Features!$A$2:$Q$74,15,FALSE),"")</f>
        <v/>
      </c>
    </row>
    <row r="7">
      <c r="A7" s="4" t="inlineStr">
        <is>
          <t>NOT-01</t>
        </is>
      </c>
      <c r="B7" s="4" t="inlineStr">
        <is>
          <t>Notifications</t>
        </is>
      </c>
      <c r="C7" s="4" t="inlineStr">
        <is>
          <t>Moteur de notifications</t>
        </is>
      </c>
      <c r="D7" s="4" t="inlineStr">
        <is>
          <t>MVP</t>
        </is>
      </c>
      <c r="E7" s="4" t="inlineStr">
        <is>
          <t>F26</t>
        </is>
      </c>
      <c r="F7" s="4">
        <f>IFERROR(VLOOKUP($E7,Features!$A$2:$Q$74,6,FALSE),"")</f>
        <v/>
      </c>
      <c r="G7" s="17">
        <f>IFERROR(VLOOKUP($E7,Features!$A$2:$Q$74,15,FALSE),"")</f>
        <v/>
      </c>
    </row>
    <row r="8">
      <c r="A8" s="4" t="inlineStr">
        <is>
          <t>NOT-02</t>
        </is>
      </c>
      <c r="B8" s="4" t="inlineStr">
        <is>
          <t>Notifications</t>
        </is>
      </c>
      <c r="C8" s="4" t="inlineStr">
        <is>
          <t>Modèles</t>
        </is>
      </c>
      <c r="D8" s="4" t="inlineStr">
        <is>
          <t>MVP</t>
        </is>
      </c>
      <c r="E8" s="4" t="inlineStr">
        <is>
          <t>F26</t>
        </is>
      </c>
      <c r="F8" s="4">
        <f>IFERROR(VLOOKUP($E8,Features!$A$2:$Q$74,6,FALSE),"")</f>
        <v/>
      </c>
      <c r="G8" s="17">
        <f>IFERROR(VLOOKUP($E8,Features!$A$2:$Q$74,15,FALSE),"")</f>
        <v/>
      </c>
    </row>
    <row r="9">
      <c r="A9" s="4" t="inlineStr">
        <is>
          <t>NOT-03</t>
        </is>
      </c>
      <c r="B9" s="4" t="inlineStr">
        <is>
          <t>Notifications</t>
        </is>
      </c>
      <c r="C9" s="4" t="inlineStr">
        <is>
          <t>Règles financières</t>
        </is>
      </c>
      <c r="D9" s="4" t="inlineStr">
        <is>
          <t>MVP</t>
        </is>
      </c>
      <c r="E9" s="4" t="inlineStr">
        <is>
          <t>F27</t>
        </is>
      </c>
      <c r="F9" s="4">
        <f>IFERROR(VLOOKUP($E9,Features!$A$2:$Q$74,6,FALSE),"")</f>
        <v/>
      </c>
      <c r="G9" s="17">
        <f>IFERROR(VLOOKUP($E9,Features!$A$2:$Q$74,15,FALSE),"")</f>
        <v/>
      </c>
    </row>
    <row r="10">
      <c r="A10" s="4" t="inlineStr">
        <is>
          <t>NOT-04</t>
        </is>
      </c>
      <c r="B10" s="4" t="inlineStr">
        <is>
          <t>Notifications</t>
        </is>
      </c>
      <c r="C10" s="4" t="inlineStr">
        <is>
          <t>Règles planning</t>
        </is>
      </c>
      <c r="D10" s="4" t="inlineStr">
        <is>
          <t>MVP</t>
        </is>
      </c>
      <c r="E10" s="4" t="inlineStr">
        <is>
          <t>F28</t>
        </is>
      </c>
      <c r="F10" s="4">
        <f>IFERROR(VLOOKUP($E10,Features!$A$2:$Q$74,6,FALSE),"")</f>
        <v/>
      </c>
      <c r="G10" s="17">
        <f>IFERROR(VLOOKUP($E10,Features!$A$2:$Q$74,15,FALSE),"")</f>
        <v/>
      </c>
    </row>
    <row r="11">
      <c r="A11" s="4" t="inlineStr">
        <is>
          <t>NOT-06</t>
        </is>
      </c>
      <c r="B11" s="4" t="inlineStr">
        <is>
          <t>Notifications</t>
        </is>
      </c>
      <c r="C11" s="4" t="inlineStr">
        <is>
          <t>Consentements et canaux</t>
        </is>
      </c>
      <c r="D11" s="4" t="inlineStr">
        <is>
          <t>MVP</t>
        </is>
      </c>
      <c r="E11" s="4" t="inlineStr">
        <is>
          <t>F26</t>
        </is>
      </c>
      <c r="F11" s="4">
        <f>IFERROR(VLOOKUP($E11,Features!$A$2:$Q$74,6,FALSE),"")</f>
        <v/>
      </c>
      <c r="G11" s="17">
        <f>IFERROR(VLOOKUP($E11,Features!$A$2:$Q$74,15,FALSE),"")</f>
        <v/>
      </c>
    </row>
    <row r="12">
      <c r="A12" s="4" t="inlineStr">
        <is>
          <t>NOT-07</t>
        </is>
      </c>
      <c r="B12" s="4" t="inlineStr">
        <is>
          <t>Notifications</t>
        </is>
      </c>
      <c r="C12" s="4" t="inlineStr">
        <is>
          <t>Journal des envois</t>
        </is>
      </c>
      <c r="D12" s="4" t="inlineStr">
        <is>
          <t>MVP</t>
        </is>
      </c>
      <c r="E12" s="4" t="inlineStr">
        <is>
          <t>F26</t>
        </is>
      </c>
      <c r="F12" s="4">
        <f>IFERROR(VLOOKUP($E12,Features!$A$2:$Q$74,6,FALSE),"")</f>
        <v/>
      </c>
      <c r="G12" s="17">
        <f>IFERROR(VLOOKUP($E12,Features!$A$2:$Q$74,15,FALSE),"")</f>
        <v/>
      </c>
    </row>
    <row r="13">
      <c r="A13" s="4" t="inlineStr">
        <is>
          <t>NOT-08</t>
        </is>
      </c>
      <c r="B13" s="4" t="inlineStr">
        <is>
          <t>Notifications</t>
        </is>
      </c>
      <c r="C13" s="4" t="inlineStr">
        <is>
          <t>Autres règles</t>
        </is>
      </c>
      <c r="D13" s="4" t="inlineStr">
        <is>
          <t>V2</t>
        </is>
      </c>
      <c r="E13" s="4" t="inlineStr">
        <is>
          <t>F27</t>
        </is>
      </c>
      <c r="F13" s="4">
        <f>IFERROR(VLOOKUP($E13,Features!$A$2:$Q$74,6,FALSE),"")</f>
        <v/>
      </c>
      <c r="G13" s="17">
        <f>IFERROR(VLOOKUP($E13,Features!$A$2:$Q$74,15,FALSE),"")</f>
        <v/>
      </c>
    </row>
    <row r="14">
      <c r="A14" s="4" t="inlineStr">
        <is>
          <t>COM-01</t>
        </is>
      </c>
      <c r="B14" s="4" t="inlineStr">
        <is>
          <t>Communication parents</t>
        </is>
      </c>
      <c r="C14" s="4" t="inlineStr">
        <is>
          <t>Message ciblé</t>
        </is>
      </c>
      <c r="D14" s="4" t="inlineStr">
        <is>
          <t>MVP</t>
        </is>
      </c>
      <c r="E14" s="4" t="inlineStr">
        <is>
          <t>F29</t>
        </is>
      </c>
      <c r="F14" s="4">
        <f>IFERROR(VLOOKUP($E14,Features!$A$2:$Q$74,6,FALSE),"")</f>
        <v/>
      </c>
      <c r="G14" s="17">
        <f>IFERROR(VLOOKUP($E14,Features!$A$2:$Q$74,15,FALSE),"")</f>
        <v/>
      </c>
    </row>
    <row r="15">
      <c r="A15" s="4" t="inlineStr">
        <is>
          <t>COM-02</t>
        </is>
      </c>
      <c r="B15" s="4" t="inlineStr">
        <is>
          <t>Communication parents</t>
        </is>
      </c>
      <c r="C15" s="4" t="inlineStr">
        <is>
          <t>Historique par famille</t>
        </is>
      </c>
      <c r="D15" s="4" t="inlineStr">
        <is>
          <t>MVP</t>
        </is>
      </c>
      <c r="E15" s="4" t="inlineStr">
        <is>
          <t>F29</t>
        </is>
      </c>
      <c r="F15" s="4">
        <f>IFERROR(VLOOKUP($E15,Features!$A$2:$Q$74,6,FALSE),"")</f>
        <v/>
      </c>
      <c r="G15" s="17">
        <f>IFERROR(VLOOKUP($E15,Features!$A$2:$Q$74,15,FALSE),"")</f>
        <v/>
      </c>
    </row>
    <row r="16">
      <c r="A16" s="4" t="inlineStr">
        <is>
          <t>CPT-01</t>
        </is>
      </c>
      <c r="B16" s="4" t="inlineStr">
        <is>
          <t>Comptabilité</t>
        </is>
      </c>
      <c r="C16" s="4" t="inlineStr">
        <is>
          <t>Exports comptables</t>
        </is>
      </c>
      <c r="D16" s="4" t="inlineStr">
        <is>
          <t>V2</t>
        </is>
      </c>
      <c r="E16" s="4" t="inlineStr">
        <is>
          <t>F34</t>
        </is>
      </c>
      <c r="F16" s="4">
        <f>IFERROR(VLOOKUP($E16,Features!$A$2:$Q$74,6,FALSE),"")</f>
        <v/>
      </c>
      <c r="G16" s="17">
        <f>IFERROR(VLOOKUP($E16,Features!$A$2:$Q$74,15,FALSE),"")</f>
        <v/>
      </c>
    </row>
    <row r="17">
      <c r="A17" s="4" t="inlineStr">
        <is>
          <t>CPT-03</t>
        </is>
      </c>
      <c r="B17" s="4" t="inlineStr">
        <is>
          <t>Comptabilité</t>
        </is>
      </c>
      <c r="C17" s="4" t="inlineStr">
        <is>
          <t>État des espèces encaissées</t>
        </is>
      </c>
      <c r="D17" s="4" t="inlineStr">
        <is>
          <t>V2</t>
        </is>
      </c>
      <c r="E17" s="4" t="inlineStr">
        <is>
          <t>F34</t>
        </is>
      </c>
      <c r="F17" s="4">
        <f>IFERROR(VLOOKUP($E17,Features!$A$2:$Q$74,6,FALSE),"")</f>
        <v/>
      </c>
      <c r="G17" s="17">
        <f>IFERROR(VLOOKUP($E17,Features!$A$2:$Q$74,15,FALSE),"")</f>
        <v/>
      </c>
    </row>
    <row r="18">
      <c r="A18" s="4" t="inlineStr">
        <is>
          <t>CPT-04</t>
        </is>
      </c>
      <c r="B18" s="4" t="inlineStr">
        <is>
          <t>Comptabilité</t>
        </is>
      </c>
      <c r="C18" s="4" t="inlineStr">
        <is>
          <t>Clôture de période</t>
        </is>
      </c>
      <c r="D18" s="4" t="inlineStr">
        <is>
          <t>V2</t>
        </is>
      </c>
      <c r="E18" s="4" t="inlineStr">
        <is>
          <t>F34</t>
        </is>
      </c>
      <c r="F18" s="4">
        <f>IFERROR(VLOOKUP($E18,Features!$A$2:$Q$74,6,FALSE),"")</f>
        <v/>
      </c>
      <c r="G18" s="17">
        <f>IFERROR(VLOOKUP($E18,Features!$A$2:$Q$74,15,FALSE),"")</f>
        <v/>
      </c>
    </row>
    <row r="19">
      <c r="A19" s="4" t="inlineStr">
        <is>
          <t>REP-02</t>
        </is>
      </c>
      <c r="B19" s="4" t="inlineStr">
        <is>
          <t>Reporting</t>
        </is>
      </c>
      <c r="C19" s="4" t="inlineStr">
        <is>
          <t>Bloc inscriptions</t>
        </is>
      </c>
      <c r="D19" s="4" t="inlineStr">
        <is>
          <t>MVP</t>
        </is>
      </c>
      <c r="E19" s="4" t="inlineStr">
        <is>
          <t>F33</t>
        </is>
      </c>
      <c r="F19" s="4">
        <f>IFERROR(VLOOKUP($E19,Features!$A$2:$Q$74,6,FALSE),"")</f>
        <v/>
      </c>
      <c r="G19" s="17">
        <f>IFERROR(VLOOKUP($E19,Features!$A$2:$Q$74,15,FALSE),"")</f>
        <v/>
      </c>
    </row>
    <row r="20">
      <c r="A20" s="4" t="inlineStr">
        <is>
          <t>REP-03</t>
        </is>
      </c>
      <c r="B20" s="4" t="inlineStr">
        <is>
          <t>Reporting</t>
        </is>
      </c>
      <c r="C20" s="4" t="inlineStr">
        <is>
          <t>Bloc finances</t>
        </is>
      </c>
      <c r="D20" s="4" t="inlineStr">
        <is>
          <t>MVP</t>
        </is>
      </c>
      <c r="E20" s="4" t="inlineStr">
        <is>
          <t>F33</t>
        </is>
      </c>
      <c r="F20" s="4">
        <f>IFERROR(VLOOKUP($E20,Features!$A$2:$Q$74,6,FALSE),"")</f>
        <v/>
      </c>
      <c r="G20" s="17">
        <f>IFERROR(VLOOKUP($E20,Features!$A$2:$Q$74,15,FALSE),"")</f>
        <v/>
      </c>
    </row>
    <row r="21">
      <c r="A21" s="4" t="inlineStr">
        <is>
          <t>REP-05</t>
        </is>
      </c>
      <c r="B21" s="4" t="inlineStr">
        <is>
          <t>Reporting</t>
        </is>
      </c>
      <c r="C21" s="4" t="inlineStr">
        <is>
          <t>Rapport planifié</t>
        </is>
      </c>
      <c r="D21" s="4" t="inlineStr">
        <is>
          <t>V2</t>
        </is>
      </c>
      <c r="E21" s="4" t="inlineStr">
        <is>
          <t>F33</t>
        </is>
      </c>
      <c r="F21" s="4">
        <f>IFERROR(VLOOKUP($E21,Features!$A$2:$Q$74,6,FALSE),"")</f>
        <v/>
      </c>
      <c r="G21" s="17">
        <f>IFERROR(VLOOKUP($E21,Features!$A$2:$Q$74,15,FALSE),"")</f>
        <v/>
      </c>
    </row>
    <row r="22">
      <c r="A22" s="4" t="inlineStr">
        <is>
          <t>INT-01</t>
        </is>
      </c>
      <c r="B22" s="4" t="inlineStr">
        <is>
          <t>API / Intégrations</t>
        </is>
      </c>
      <c r="C22" s="4" t="inlineStr">
        <is>
          <t>Messagerie</t>
        </is>
      </c>
      <c r="D22" s="4" t="inlineStr">
        <is>
          <t>MVP</t>
        </is>
      </c>
      <c r="E22" s="4" t="inlineStr">
        <is>
          <t>F26</t>
        </is>
      </c>
      <c r="F22" s="4">
        <f>IFERROR(VLOOKUP($E22,Features!$A$2:$Q$74,6,FALSE),"")</f>
        <v/>
      </c>
      <c r="G22" s="17">
        <f>IFERROR(VLOOKUP($E22,Features!$A$2:$Q$74,15,FALSE),"")</f>
        <v/>
      </c>
    </row>
    <row r="23">
      <c r="A23" s="4" t="inlineStr">
        <is>
          <t>EVT-06</t>
        </is>
      </c>
      <c r="B23" s="4" t="inlineStr">
        <is>
          <t>Camp d'été et fin d'année</t>
        </is>
      </c>
      <c r="C23" s="4" t="inlineStr">
        <is>
          <t>Cérémonie de fin d'année</t>
        </is>
      </c>
      <c r="D23" s="4" t="inlineStr">
        <is>
          <t>MVP</t>
        </is>
      </c>
      <c r="E23" s="4" t="inlineStr">
        <is>
          <t>F32</t>
        </is>
      </c>
      <c r="F23" s="4">
        <f>IFERROR(VLOOKUP($E23,Features!$A$2:$Q$74,6,FALSE),"")</f>
        <v/>
      </c>
      <c r="G23" s="17">
        <f>IFERROR(VLOOKUP($E23,Features!$A$2:$Q$74,15,FALSE),"")</f>
        <v/>
      </c>
    </row>
    <row r="24">
      <c r="A24" s="4" t="inlineStr">
        <is>
          <t>EVT-08</t>
        </is>
      </c>
      <c r="B24" s="4" t="inlineStr">
        <is>
          <t>Camp d'été et fin d'année</t>
        </is>
      </c>
      <c r="C24" s="4" t="inlineStr">
        <is>
          <t>Annonce de masse aux parents</t>
        </is>
      </c>
      <c r="D24" s="4" t="inlineStr">
        <is>
          <t>MVP</t>
        </is>
      </c>
      <c r="E24" s="4" t="inlineStr">
        <is>
          <t>F29</t>
        </is>
      </c>
      <c r="F24" s="4">
        <f>IFERROR(VLOOKUP($E24,Features!$A$2:$Q$74,6,FALSE),"")</f>
        <v/>
      </c>
      <c r="G24" s="17">
        <f>IFERROR(VLOOKUP($E24,Features!$A$2:$Q$74,15,FALSE),"")</f>
        <v/>
      </c>
    </row>
    <row r="26">
      <c r="A26" s="9" t="inlineStr">
        <is>
          <t>R3 — Parents, relances et exports comptables</t>
        </is>
      </c>
    </row>
  </sheetData>
  <autoFilter ref="A1:G24"/>
  <conditionalFormatting sqref="F2:F24">
    <cfRule type="cellIs" priority="1" operator="equal" dxfId="0">
      <formula>"Waiting"</formula>
    </cfRule>
    <cfRule type="cellIs" priority="2" operator="equal" dxfId="1">
      <formula>"Cadrage"</formula>
    </cfRule>
    <cfRule type="cellIs" priority="3" operator="equal" dxfId="2">
      <formula>"Dev"</formula>
    </cfRule>
    <cfRule type="cellIs" priority="4" operator="equal" dxfId="3">
      <formula>"In test"</formula>
    </cfRule>
    <cfRule type="cellIs" priority="5" operator="equal" dxfId="4">
      <formula>"Production"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6" customWidth="1" min="2" max="2"/>
    <col width="44" customWidth="1" min="3" max="3"/>
    <col width="9" customWidth="1" min="4" max="4"/>
    <col width="10" customWidth="1" min="5" max="5"/>
    <col width="12" customWidth="1" min="6" max="6"/>
    <col width="15" customWidth="1" min="7" max="7"/>
  </cols>
  <sheetData>
    <row r="1" ht="30" customHeight="1">
      <c r="A1" s="16" t="inlineStr">
        <is>
          <t>ID</t>
        </is>
      </c>
      <c r="B1" s="16" t="inlineStr">
        <is>
          <t>Domaine</t>
        </is>
      </c>
      <c r="C1" s="16" t="inlineStr">
        <is>
          <t>Libellé</t>
        </is>
      </c>
      <c r="D1" s="16" t="inlineStr">
        <is>
          <t>Cahier</t>
        </is>
      </c>
      <c r="E1" s="16" t="inlineStr">
        <is>
          <t>Feature</t>
        </is>
      </c>
      <c r="F1" s="16" t="inlineStr">
        <is>
          <t>État</t>
        </is>
      </c>
      <c r="G1" s="16" t="inlineStr">
        <is>
          <t>Date production</t>
        </is>
      </c>
    </row>
    <row r="2">
      <c r="A2" s="4" t="inlineStr">
        <is>
          <t>RES-04</t>
        </is>
      </c>
      <c r="B2" s="4" t="inlineStr">
        <is>
          <t>Réservations</t>
        </is>
      </c>
      <c r="C2" s="4" t="inlineStr">
        <is>
          <t>Séance à l'unité / carnet</t>
        </is>
      </c>
      <c r="D2" s="4" t="inlineStr">
        <is>
          <t>MVP</t>
        </is>
      </c>
      <c r="E2" s="4" t="inlineStr">
        <is>
          <t>F37</t>
        </is>
      </c>
      <c r="F2" s="4">
        <f>IFERROR(VLOOKUP($E2,Features!$A$2:$Q$74,6,FALSE),"")</f>
        <v/>
      </c>
      <c r="G2" s="17">
        <f>IFERROR(VLOOKUP($E2,Features!$A$2:$Q$74,15,FALSE),"")</f>
        <v/>
      </c>
    </row>
    <row r="3">
      <c r="A3" s="4" t="inlineStr">
        <is>
          <t>PRE-01</t>
        </is>
      </c>
      <c r="B3" s="4" t="inlineStr">
        <is>
          <t>Présences</t>
        </is>
      </c>
      <c r="C3" s="4" t="inlineStr">
        <is>
          <t>Appel par le coach</t>
        </is>
      </c>
      <c r="D3" s="4" t="inlineStr">
        <is>
          <t>MVP</t>
        </is>
      </c>
      <c r="E3" s="4" t="inlineStr">
        <is>
          <t>F35</t>
        </is>
      </c>
      <c r="F3" s="4">
        <f>IFERROR(VLOOKUP($E3,Features!$A$2:$Q$74,6,FALSE),"")</f>
        <v/>
      </c>
      <c r="G3" s="17">
        <f>IFERROR(VLOOKUP($E3,Features!$A$2:$Q$74,15,FALSE),"")</f>
        <v/>
      </c>
    </row>
    <row r="4">
      <c r="A4" s="4" t="inlineStr">
        <is>
          <t>PRE-02</t>
        </is>
      </c>
      <c r="B4" s="4" t="inlineStr">
        <is>
          <t>Présences</t>
        </is>
      </c>
      <c r="C4" s="4" t="inlineStr">
        <is>
          <t>Pointage accueil</t>
        </is>
      </c>
      <c r="D4" s="4" t="inlineStr">
        <is>
          <t>MVP</t>
        </is>
      </c>
      <c r="E4" s="4" t="inlineStr">
        <is>
          <t>F36</t>
        </is>
      </c>
      <c r="F4" s="4">
        <f>IFERROR(VLOOKUP($E4,Features!$A$2:$Q$74,6,FALSE),"")</f>
        <v/>
      </c>
      <c r="G4" s="17">
        <f>IFERROR(VLOOKUP($E4,Features!$A$2:$Q$74,15,FALSE),"")</f>
        <v/>
      </c>
    </row>
    <row r="5">
      <c r="A5" s="4" t="inlineStr">
        <is>
          <t>PRE-03</t>
        </is>
      </c>
      <c r="B5" s="4" t="inlineStr">
        <is>
          <t>Présences</t>
        </is>
      </c>
      <c r="C5" s="4" t="inlineStr">
        <is>
          <t>Statut administratif au pointage</t>
        </is>
      </c>
      <c r="D5" s="4" t="inlineStr">
        <is>
          <t>MVP</t>
        </is>
      </c>
      <c r="E5" s="4" t="inlineStr">
        <is>
          <t>F36</t>
        </is>
      </c>
      <c r="F5" s="4">
        <f>IFERROR(VLOOKUP($E5,Features!$A$2:$Q$74,6,FALSE),"")</f>
        <v/>
      </c>
      <c r="G5" s="17">
        <f>IFERROR(VLOOKUP($E5,Features!$A$2:$Q$74,15,FALSE),"")</f>
        <v/>
      </c>
    </row>
    <row r="6">
      <c r="A6" s="4" t="inlineStr">
        <is>
          <t>PRE-04</t>
        </is>
      </c>
      <c r="B6" s="4" t="inlineStr">
        <is>
          <t>Présences</t>
        </is>
      </c>
      <c r="C6" s="4" t="inlineStr">
        <is>
          <t>Vue temps réel</t>
        </is>
      </c>
      <c r="D6" s="4" t="inlineStr">
        <is>
          <t>MVP</t>
        </is>
      </c>
      <c r="E6" s="4" t="inlineStr">
        <is>
          <t>F38</t>
        </is>
      </c>
      <c r="F6" s="4">
        <f>IFERROR(VLOOKUP($E6,Features!$A$2:$Q$74,6,FALSE),"")</f>
        <v/>
      </c>
      <c r="G6" s="17">
        <f>IFERROR(VLOOKUP($E6,Features!$A$2:$Q$74,15,FALSE),"")</f>
        <v/>
      </c>
    </row>
    <row r="7">
      <c r="A7" s="4" t="inlineStr">
        <is>
          <t>PRE-06</t>
        </is>
      </c>
      <c r="B7" s="4" t="inlineStr">
        <is>
          <t>Présences</t>
        </is>
      </c>
      <c r="C7" s="4" t="inlineStr">
        <is>
          <t>Sortie de l'enfant</t>
        </is>
      </c>
      <c r="D7" s="4" t="inlineStr">
        <is>
          <t>V2</t>
        </is>
      </c>
      <c r="E7" s="4" t="inlineStr">
        <is>
          <t>F40</t>
        </is>
      </c>
      <c r="F7" s="4">
        <f>IFERROR(VLOOKUP($E7,Features!$A$2:$Q$74,6,FALSE),"")</f>
        <v/>
      </c>
      <c r="G7" s="17">
        <f>IFERROR(VLOOKUP($E7,Features!$A$2:$Q$74,15,FALSE),"")</f>
        <v/>
      </c>
    </row>
    <row r="8">
      <c r="A8" s="4" t="inlineStr">
        <is>
          <t>PRE-07</t>
        </is>
      </c>
      <c r="B8" s="4" t="inlineStr">
        <is>
          <t>Présences</t>
        </is>
      </c>
      <c r="C8" s="4" t="inlineStr">
        <is>
          <t>Historique et assiduité</t>
        </is>
      </c>
      <c r="D8" s="4" t="inlineStr">
        <is>
          <t>MVP</t>
        </is>
      </c>
      <c r="E8" s="4" t="inlineStr">
        <is>
          <t>F39</t>
        </is>
      </c>
      <c r="F8" s="4">
        <f>IFERROR(VLOOKUP($E8,Features!$A$2:$Q$74,6,FALSE),"")</f>
        <v/>
      </c>
      <c r="G8" s="17">
        <f>IFERROR(VLOOKUP($E8,Features!$A$2:$Q$74,15,FALSE),"")</f>
        <v/>
      </c>
    </row>
    <row r="9">
      <c r="A9" s="4" t="inlineStr">
        <is>
          <t>PRE-08</t>
        </is>
      </c>
      <c r="B9" s="4" t="inlineStr">
        <is>
          <t>Présences</t>
        </is>
      </c>
      <c r="C9" s="4" t="inlineStr">
        <is>
          <t>Mode hors ligne</t>
        </is>
      </c>
      <c r="D9" s="4" t="inlineStr">
        <is>
          <t>V2</t>
        </is>
      </c>
      <c r="E9" s="4" t="inlineStr">
        <is>
          <t>F35</t>
        </is>
      </c>
      <c r="F9" s="4">
        <f>IFERROR(VLOOKUP($E9,Features!$A$2:$Q$74,6,FALSE),"")</f>
        <v/>
      </c>
      <c r="G9" s="17">
        <f>IFERROR(VLOOKUP($E9,Features!$A$2:$Q$74,15,FALSE),"")</f>
        <v/>
      </c>
    </row>
    <row r="10">
      <c r="A10" s="4" t="inlineStr">
        <is>
          <t>IMP-05</t>
        </is>
      </c>
      <c r="B10" s="4" t="inlineStr">
        <is>
          <t>Impayés</t>
        </is>
      </c>
      <c r="C10" s="4" t="inlineStr">
        <is>
          <t>Politique d'accès</t>
        </is>
      </c>
      <c r="D10" s="4" t="inlineStr">
        <is>
          <t>MVP</t>
        </is>
      </c>
      <c r="E10" s="4" t="inlineStr">
        <is>
          <t>F36</t>
        </is>
      </c>
      <c r="F10" s="4">
        <f>IFERROR(VLOOKUP($E10,Features!$A$2:$Q$74,6,FALSE),"")</f>
        <v/>
      </c>
      <c r="G10" s="17">
        <f>IFERROR(VLOOKUP($E10,Features!$A$2:$Q$74,15,FALSE),"")</f>
        <v/>
      </c>
    </row>
    <row r="11">
      <c r="A11" s="4" t="inlineStr">
        <is>
          <t>NOT-05</t>
        </is>
      </c>
      <c r="B11" s="4" t="inlineStr">
        <is>
          <t>Notifications</t>
        </is>
      </c>
      <c r="C11" s="4" t="inlineStr">
        <is>
          <t>Règles présence</t>
        </is>
      </c>
      <c r="D11" s="4" t="inlineStr">
        <is>
          <t>V2</t>
        </is>
      </c>
      <c r="E11" s="4" t="inlineStr">
        <is>
          <t>F41</t>
        </is>
      </c>
      <c r="F11" s="4">
        <f>IFERROR(VLOOKUP($E11,Features!$A$2:$Q$74,6,FALSE),"")</f>
        <v/>
      </c>
      <c r="G11" s="17">
        <f>IFERROR(VLOOKUP($E11,Features!$A$2:$Q$74,15,FALSE),"")</f>
        <v/>
      </c>
    </row>
    <row r="12">
      <c r="A12" s="4" t="inlineStr">
        <is>
          <t>COA-04</t>
        </is>
      </c>
      <c r="B12" s="4" t="inlineStr">
        <is>
          <t>Coachs</t>
        </is>
      </c>
      <c r="C12" s="4" t="inlineStr">
        <is>
          <t>Séances réalisées</t>
        </is>
      </c>
      <c r="D12" s="4" t="inlineStr">
        <is>
          <t>MVP</t>
        </is>
      </c>
      <c r="E12" s="4" t="inlineStr">
        <is>
          <t>F39</t>
        </is>
      </c>
      <c r="F12" s="4">
        <f>IFERROR(VLOOKUP($E12,Features!$A$2:$Q$74,6,FALSE),"")</f>
        <v/>
      </c>
      <c r="G12" s="17">
        <f>IFERROR(VLOOKUP($E12,Features!$A$2:$Q$74,15,FALSE),"")</f>
        <v/>
      </c>
    </row>
    <row r="13">
      <c r="A13" s="4" t="inlineStr">
        <is>
          <t>REP-01</t>
        </is>
      </c>
      <c r="B13" s="4" t="inlineStr">
        <is>
          <t>Reporting</t>
        </is>
      </c>
      <c r="C13" s="4" t="inlineStr">
        <is>
          <t>Tableau de bord opérationnel</t>
        </is>
      </c>
      <c r="D13" s="4" t="inlineStr">
        <is>
          <t>MVP</t>
        </is>
      </c>
      <c r="E13" s="4" t="inlineStr">
        <is>
          <t>F38</t>
        </is>
      </c>
      <c r="F13" s="4">
        <f>IFERROR(VLOOKUP($E13,Features!$A$2:$Q$74,6,FALSE),"")</f>
        <v/>
      </c>
      <c r="G13" s="17">
        <f>IFERROR(VLOOKUP($E13,Features!$A$2:$Q$74,15,FALSE),"")</f>
        <v/>
      </c>
    </row>
    <row r="14">
      <c r="A14" s="4" t="inlineStr">
        <is>
          <t>APC-02</t>
        </is>
      </c>
      <c r="B14" s="4" t="inlineStr">
        <is>
          <t>Application coach</t>
        </is>
      </c>
      <c r="C14" s="4" t="inlineStr">
        <is>
          <t>Appel</t>
        </is>
      </c>
      <c r="D14" s="4" t="inlineStr">
        <is>
          <t>MVP</t>
        </is>
      </c>
      <c r="E14" s="4" t="inlineStr">
        <is>
          <t>F35</t>
        </is>
      </c>
      <c r="F14" s="4">
        <f>IFERROR(VLOOKUP($E14,Features!$A$2:$Q$74,6,FALSE),"")</f>
        <v/>
      </c>
      <c r="G14" s="17">
        <f>IFERROR(VLOOKUP($E14,Features!$A$2:$Q$74,15,FALSE),"")</f>
        <v/>
      </c>
    </row>
    <row r="15">
      <c r="A15" s="4" t="inlineStr">
        <is>
          <t>APC-03</t>
        </is>
      </c>
      <c r="B15" s="4" t="inlineStr">
        <is>
          <t>Application coach</t>
        </is>
      </c>
      <c r="C15" s="4" t="inlineStr">
        <is>
          <t>Fiche enfant réduite</t>
        </is>
      </c>
      <c r="D15" s="4" t="inlineStr">
        <is>
          <t>MVP</t>
        </is>
      </c>
      <c r="E15" s="4" t="inlineStr">
        <is>
          <t>F35</t>
        </is>
      </c>
      <c r="F15" s="4">
        <f>IFERROR(VLOOKUP($E15,Features!$A$2:$Q$74,6,FALSE),"")</f>
        <v/>
      </c>
      <c r="G15" s="17">
        <f>IFERROR(VLOOKUP($E15,Features!$A$2:$Q$74,15,FALSE),"")</f>
        <v/>
      </c>
    </row>
    <row r="16">
      <c r="A16" s="4" t="inlineStr">
        <is>
          <t>SEC-05</t>
        </is>
      </c>
      <c r="B16" s="4" t="inlineStr">
        <is>
          <t>Sécurité</t>
        </is>
      </c>
      <c r="C16" s="4" t="inlineStr">
        <is>
          <t>Droits des personnes</t>
        </is>
      </c>
      <c r="D16" s="4" t="inlineStr">
        <is>
          <t>V2</t>
        </is>
      </c>
      <c r="E16" s="4" t="inlineStr">
        <is>
          <t>F42</t>
        </is>
      </c>
      <c r="F16" s="4">
        <f>IFERROR(VLOOKUP($E16,Features!$A$2:$Q$74,6,FALSE),"")</f>
        <v/>
      </c>
      <c r="G16" s="17">
        <f>IFERROR(VLOOKUP($E16,Features!$A$2:$Q$74,15,FALSE),"")</f>
        <v/>
      </c>
    </row>
    <row r="17">
      <c r="A17" s="4" t="inlineStr">
        <is>
          <t>SEC-06</t>
        </is>
      </c>
      <c r="B17" s="4" t="inlineStr">
        <is>
          <t>Sécurité</t>
        </is>
      </c>
      <c r="C17" s="4" t="inlineStr">
        <is>
          <t>Durées de conservation</t>
        </is>
      </c>
      <c r="D17" s="4" t="inlineStr">
        <is>
          <t>V2</t>
        </is>
      </c>
      <c r="E17" s="4" t="inlineStr">
        <is>
          <t>F42</t>
        </is>
      </c>
      <c r="F17" s="4">
        <f>IFERROR(VLOOKUP($E17,Features!$A$2:$Q$74,6,FALSE),"")</f>
        <v/>
      </c>
      <c r="G17" s="17">
        <f>IFERROR(VLOOKUP($E17,Features!$A$2:$Q$74,15,FALSE),"")</f>
        <v/>
      </c>
    </row>
    <row r="19">
      <c r="A19" s="9" t="inlineStr">
        <is>
          <t>R4 — Pointage</t>
        </is>
      </c>
    </row>
  </sheetData>
  <autoFilter ref="A1:G17"/>
  <conditionalFormatting sqref="F2:F17">
    <cfRule type="cellIs" priority="1" operator="equal" dxfId="0">
      <formula>"Waiting"</formula>
    </cfRule>
    <cfRule type="cellIs" priority="2" operator="equal" dxfId="1">
      <formula>"Cadrage"</formula>
    </cfRule>
    <cfRule type="cellIs" priority="3" operator="equal" dxfId="2">
      <formula>"Dev"</formula>
    </cfRule>
    <cfRule type="cellIs" priority="4" operator="equal" dxfId="3">
      <formula>"In test"</formula>
    </cfRule>
    <cfRule type="cellIs" priority="5" operator="equal" dxfId="4">
      <formula>"Production"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6" customWidth="1" min="2" max="2"/>
    <col width="44" customWidth="1" min="3" max="3"/>
    <col width="9" customWidth="1" min="4" max="4"/>
    <col width="10" customWidth="1" min="5" max="5"/>
    <col width="12" customWidth="1" min="6" max="6"/>
    <col width="15" customWidth="1" min="7" max="7"/>
  </cols>
  <sheetData>
    <row r="1" ht="30" customHeight="1">
      <c r="A1" s="16" t="inlineStr">
        <is>
          <t>ID</t>
        </is>
      </c>
      <c r="B1" s="16" t="inlineStr">
        <is>
          <t>Domaine</t>
        </is>
      </c>
      <c r="C1" s="16" t="inlineStr">
        <is>
          <t>Libellé</t>
        </is>
      </c>
      <c r="D1" s="16" t="inlineStr">
        <is>
          <t>Cahier</t>
        </is>
      </c>
      <c r="E1" s="16" t="inlineStr">
        <is>
          <t>Feature</t>
        </is>
      </c>
      <c r="F1" s="16" t="inlineStr">
        <is>
          <t>État</t>
        </is>
      </c>
      <c r="G1" s="16" t="inlineStr">
        <is>
          <t>Date production</t>
        </is>
      </c>
    </row>
    <row r="2">
      <c r="A2" s="4" t="inlineStr">
        <is>
          <t>TAR-07</t>
        </is>
      </c>
      <c r="B2" s="4" t="inlineStr">
        <is>
          <t>Tarification</t>
        </is>
      </c>
      <c r="C2" s="4" t="inlineStr">
        <is>
          <t>Codes promo</t>
        </is>
      </c>
      <c r="D2" s="4" t="inlineStr">
        <is>
          <t>V2</t>
        </is>
      </c>
      <c r="E2" s="4" t="inlineStr">
        <is>
          <t>F49</t>
        </is>
      </c>
      <c r="F2" s="4">
        <f>IFERROR(VLOOKUP($E2,Features!$A$2:$Q$74,6,FALSE),"")</f>
        <v/>
      </c>
      <c r="G2" s="17">
        <f>IFERROR(VLOOKUP($E2,Features!$A$2:$Q$74,15,FALSE),"")</f>
        <v/>
      </c>
    </row>
    <row r="3">
      <c r="A3" s="4" t="inlineStr">
        <is>
          <t>IMP-04</t>
        </is>
      </c>
      <c r="B3" s="4" t="inlineStr">
        <is>
          <t>Impayés</t>
        </is>
      </c>
      <c r="C3" s="4" t="inlineStr">
        <is>
          <t>Tâche de recouvrement</t>
        </is>
      </c>
      <c r="D3" s="4" t="inlineStr">
        <is>
          <t>V2</t>
        </is>
      </c>
      <c r="E3" s="4" t="inlineStr">
        <is>
          <t>F47</t>
        </is>
      </c>
      <c r="F3" s="4">
        <f>IFERROR(VLOOKUP($E3,Features!$A$2:$Q$74,6,FALSE),"")</f>
        <v/>
      </c>
      <c r="G3" s="17">
        <f>IFERROR(VLOOKUP($E3,Features!$A$2:$Q$74,15,FALSE),"")</f>
        <v/>
      </c>
    </row>
    <row r="4">
      <c r="A4" s="4" t="inlineStr">
        <is>
          <t>COA-02</t>
        </is>
      </c>
      <c r="B4" s="4" t="inlineStr">
        <is>
          <t>Coachs</t>
        </is>
      </c>
      <c r="C4" s="4" t="inlineStr">
        <is>
          <t>Disponibilités et absences</t>
        </is>
      </c>
      <c r="D4" s="4" t="inlineStr">
        <is>
          <t>V2</t>
        </is>
      </c>
      <c r="E4" s="4" t="inlineStr">
        <is>
          <t>F46</t>
        </is>
      </c>
      <c r="F4" s="4">
        <f>IFERROR(VLOOKUP($E4,Features!$A$2:$Q$74,6,FALSE),"")</f>
        <v/>
      </c>
      <c r="G4" s="17">
        <f>IFERROR(VLOOKUP($E4,Features!$A$2:$Q$74,15,FALSE),"")</f>
        <v/>
      </c>
    </row>
    <row r="5">
      <c r="A5" s="4" t="inlineStr">
        <is>
          <t>REM-01</t>
        </is>
      </c>
      <c r="B5" s="4" t="inlineStr">
        <is>
          <t>Rémunération</t>
        </is>
      </c>
      <c r="C5" s="4" t="inlineStr">
        <is>
          <t>Modèles de rémunération</t>
        </is>
      </c>
      <c r="D5" s="4" t="inlineStr">
        <is>
          <t>V2</t>
        </is>
      </c>
      <c r="E5" s="4" t="inlineStr">
        <is>
          <t>F43</t>
        </is>
      </c>
      <c r="F5" s="4">
        <f>IFERROR(VLOOKUP($E5,Features!$A$2:$Q$74,6,FALSE),"")</f>
        <v/>
      </c>
      <c r="G5" s="17">
        <f>IFERROR(VLOOKUP($E5,Features!$A$2:$Q$74,15,FALSE),"")</f>
        <v/>
      </c>
    </row>
    <row r="6">
      <c r="A6" s="4" t="inlineStr">
        <is>
          <t>REM-02</t>
        </is>
      </c>
      <c r="B6" s="4" t="inlineStr">
        <is>
          <t>Rémunération</t>
        </is>
      </c>
      <c r="C6" s="4" t="inlineStr">
        <is>
          <t>État mensuel</t>
        </is>
      </c>
      <c r="D6" s="4" t="inlineStr">
        <is>
          <t>V2</t>
        </is>
      </c>
      <c r="E6" s="4" t="inlineStr">
        <is>
          <t>F44</t>
        </is>
      </c>
      <c r="F6" s="4">
        <f>IFERROR(VLOOKUP($E6,Features!$A$2:$Q$74,6,FALSE),"")</f>
        <v/>
      </c>
      <c r="G6" s="17">
        <f>IFERROR(VLOOKUP($E6,Features!$A$2:$Q$74,15,FALSE),"")</f>
        <v/>
      </c>
    </row>
    <row r="7">
      <c r="A7" s="4" t="inlineStr">
        <is>
          <t>REM-03</t>
        </is>
      </c>
      <c r="B7" s="4" t="inlineStr">
        <is>
          <t>Rémunération</t>
        </is>
      </c>
      <c r="C7" s="4" t="inlineStr">
        <is>
          <t>Avances</t>
        </is>
      </c>
      <c r="D7" s="4" t="inlineStr">
        <is>
          <t>V2</t>
        </is>
      </c>
      <c r="E7" s="4" t="inlineStr">
        <is>
          <t>F44</t>
        </is>
      </c>
      <c r="F7" s="4">
        <f>IFERROR(VLOOKUP($E7,Features!$A$2:$Q$74,6,FALSE),"")</f>
        <v/>
      </c>
      <c r="G7" s="17">
        <f>IFERROR(VLOOKUP($E7,Features!$A$2:$Q$74,15,FALSE),"")</f>
        <v/>
      </c>
    </row>
    <row r="8">
      <c r="A8" s="4" t="inlineStr">
        <is>
          <t>REM-04</t>
        </is>
      </c>
      <c r="B8" s="4" t="inlineStr">
        <is>
          <t>Rémunération</t>
        </is>
      </c>
      <c r="C8" s="4" t="inlineStr">
        <is>
          <t>Paiement de la rémunération</t>
        </is>
      </c>
      <c r="D8" s="4" t="inlineStr">
        <is>
          <t>V2</t>
        </is>
      </c>
      <c r="E8" s="4" t="inlineStr">
        <is>
          <t>F44</t>
        </is>
      </c>
      <c r="F8" s="4">
        <f>IFERROR(VLOOKUP($E8,Features!$A$2:$Q$74,6,FALSE),"")</f>
        <v/>
      </c>
      <c r="G8" s="17">
        <f>IFERROR(VLOOKUP($E8,Features!$A$2:$Q$74,15,FALSE),"")</f>
        <v/>
      </c>
    </row>
    <row r="9">
      <c r="A9" s="4" t="inlineStr">
        <is>
          <t>REM-05</t>
        </is>
      </c>
      <c r="B9" s="4" t="inlineStr">
        <is>
          <t>Rémunération</t>
        </is>
      </c>
      <c r="C9" s="4" t="inlineStr">
        <is>
          <t>Export pour la paie</t>
        </is>
      </c>
      <c r="D9" s="4" t="inlineStr">
        <is>
          <t>V2</t>
        </is>
      </c>
      <c r="E9" s="4" t="inlineStr">
        <is>
          <t>F44</t>
        </is>
      </c>
      <c r="F9" s="4">
        <f>IFERROR(VLOOKUP($E9,Features!$A$2:$Q$74,6,FALSE),"")</f>
        <v/>
      </c>
      <c r="G9" s="17">
        <f>IFERROR(VLOOKUP($E9,Features!$A$2:$Q$74,15,FALSE),"")</f>
        <v/>
      </c>
    </row>
    <row r="10">
      <c r="A10" s="4" t="inlineStr">
        <is>
          <t>PER-01</t>
        </is>
      </c>
      <c r="B10" s="4" t="inlineStr">
        <is>
          <t>Personnel administratif</t>
        </is>
      </c>
      <c r="C10" s="4" t="inlineStr">
        <is>
          <t>Fiche personnel et prestataires</t>
        </is>
      </c>
      <c r="D10" s="4" t="inlineStr">
        <is>
          <t>V2</t>
        </is>
      </c>
      <c r="E10" s="4" t="inlineStr">
        <is>
          <t>F45</t>
        </is>
      </c>
      <c r="F10" s="4">
        <f>IFERROR(VLOOKUP($E10,Features!$A$2:$Q$74,6,FALSE),"")</f>
        <v/>
      </c>
      <c r="G10" s="17">
        <f>IFERROR(VLOOKUP($E10,Features!$A$2:$Q$74,15,FALSE),"")</f>
        <v/>
      </c>
    </row>
    <row r="11">
      <c r="A11" s="4" t="inlineStr">
        <is>
          <t>PER-02</t>
        </is>
      </c>
      <c r="B11" s="4" t="inlineStr">
        <is>
          <t>Personnel administratif</t>
        </is>
      </c>
      <c r="C11" s="4" t="inlineStr">
        <is>
          <t>Dépenses récurrentes</t>
        </is>
      </c>
      <c r="D11" s="4" t="inlineStr">
        <is>
          <t>V2</t>
        </is>
      </c>
      <c r="E11" s="4" t="inlineStr">
        <is>
          <t>F45</t>
        </is>
      </c>
      <c r="F11" s="4">
        <f>IFERROR(VLOOKUP($E11,Features!$A$2:$Q$74,6,FALSE),"")</f>
        <v/>
      </c>
      <c r="G11" s="17">
        <f>IFERROR(VLOOKUP($E11,Features!$A$2:$Q$74,15,FALSE),"")</f>
        <v/>
      </c>
    </row>
    <row r="12">
      <c r="A12" s="4" t="inlineStr">
        <is>
          <t>PER-03</t>
        </is>
      </c>
      <c r="B12" s="4" t="inlineStr">
        <is>
          <t>Personnel administratif</t>
        </is>
      </c>
      <c r="C12" s="4" t="inlineStr">
        <is>
          <t>Tâches</t>
        </is>
      </c>
      <c r="D12" s="4" t="inlineStr">
        <is>
          <t>V2</t>
        </is>
      </c>
      <c r="E12" s="4" t="inlineStr">
        <is>
          <t>F47</t>
        </is>
      </c>
      <c r="F12" s="4">
        <f>IFERROR(VLOOKUP($E12,Features!$A$2:$Q$74,6,FALSE),"")</f>
        <v/>
      </c>
      <c r="G12" s="17">
        <f>IFERROR(VLOOKUP($E12,Features!$A$2:$Q$74,15,FALSE),"")</f>
        <v/>
      </c>
    </row>
    <row r="13">
      <c r="A13" s="4" t="inlineStr">
        <is>
          <t>POS-03</t>
        </is>
      </c>
      <c r="B13" s="4" t="inlineStr">
        <is>
          <t>POS</t>
        </is>
      </c>
      <c r="C13" s="4" t="inlineStr">
        <is>
          <t>Retour et échange</t>
        </is>
      </c>
      <c r="D13" s="4" t="inlineStr">
        <is>
          <t>V2</t>
        </is>
      </c>
      <c r="E13" s="4" t="inlineStr">
        <is>
          <t>F49</t>
        </is>
      </c>
      <c r="F13" s="4">
        <f>IFERROR(VLOOKUP($E13,Features!$A$2:$Q$74,6,FALSE),"")</f>
        <v/>
      </c>
      <c r="G13" s="17">
        <f>IFERROR(VLOOKUP($E13,Features!$A$2:$Q$74,15,FALSE),"")</f>
        <v/>
      </c>
    </row>
    <row r="14">
      <c r="A14" s="4" t="inlineStr">
        <is>
          <t>POS-04</t>
        </is>
      </c>
      <c r="B14" s="4" t="inlineStr">
        <is>
          <t>POS</t>
        </is>
      </c>
      <c r="C14" s="4" t="inlineStr">
        <is>
          <t>Article lié à une activité</t>
        </is>
      </c>
      <c r="D14" s="4" t="inlineStr">
        <is>
          <t>V2</t>
        </is>
      </c>
      <c r="E14" s="4" t="inlineStr">
        <is>
          <t>F49</t>
        </is>
      </c>
      <c r="F14" s="4">
        <f>IFERROR(VLOOKUP($E14,Features!$A$2:$Q$74,6,FALSE),"")</f>
        <v/>
      </c>
      <c r="G14" s="17">
        <f>IFERROR(VLOOKUP($E14,Features!$A$2:$Q$74,15,FALSE),"")</f>
        <v/>
      </c>
    </row>
    <row r="15">
      <c r="A15" s="4" t="inlineStr">
        <is>
          <t>STK-01</t>
        </is>
      </c>
      <c r="B15" s="4" t="inlineStr">
        <is>
          <t>Stock</t>
        </is>
      </c>
      <c r="C15" s="4" t="inlineStr">
        <is>
          <t>Stock par article et variante</t>
        </is>
      </c>
      <c r="D15" s="4" t="inlineStr">
        <is>
          <t>V2</t>
        </is>
      </c>
      <c r="E15" s="4" t="inlineStr">
        <is>
          <t>F48</t>
        </is>
      </c>
      <c r="F15" s="4">
        <f>IFERROR(VLOOKUP($E15,Features!$A$2:$Q$74,6,FALSE),"")</f>
        <v/>
      </c>
      <c r="G15" s="17">
        <f>IFERROR(VLOOKUP($E15,Features!$A$2:$Q$74,15,FALSE),"")</f>
        <v/>
      </c>
    </row>
    <row r="16">
      <c r="A16" s="4" t="inlineStr">
        <is>
          <t>STK-02</t>
        </is>
      </c>
      <c r="B16" s="4" t="inlineStr">
        <is>
          <t>Stock</t>
        </is>
      </c>
      <c r="C16" s="4" t="inlineStr">
        <is>
          <t>Entrées, sorties, ajustements</t>
        </is>
      </c>
      <c r="D16" s="4" t="inlineStr">
        <is>
          <t>V2</t>
        </is>
      </c>
      <c r="E16" s="4" t="inlineStr">
        <is>
          <t>F48</t>
        </is>
      </c>
      <c r="F16" s="4">
        <f>IFERROR(VLOOKUP($E16,Features!$A$2:$Q$74,6,FALSE),"")</f>
        <v/>
      </c>
      <c r="G16" s="17">
        <f>IFERROR(VLOOKUP($E16,Features!$A$2:$Q$74,15,FALSE),"")</f>
        <v/>
      </c>
    </row>
    <row r="17">
      <c r="A17" s="4" t="inlineStr">
        <is>
          <t>STK-03</t>
        </is>
      </c>
      <c r="B17" s="4" t="inlineStr">
        <is>
          <t>Stock</t>
        </is>
      </c>
      <c r="C17" s="4" t="inlineStr">
        <is>
          <t>Seuil et alerte</t>
        </is>
      </c>
      <c r="D17" s="4" t="inlineStr">
        <is>
          <t>V2</t>
        </is>
      </c>
      <c r="E17" s="4" t="inlineStr">
        <is>
          <t>F48</t>
        </is>
      </c>
      <c r="F17" s="4">
        <f>IFERROR(VLOOKUP($E17,Features!$A$2:$Q$74,6,FALSE),"")</f>
        <v/>
      </c>
      <c r="G17" s="17">
        <f>IFERROR(VLOOKUP($E17,Features!$A$2:$Q$74,15,FALSE),"")</f>
        <v/>
      </c>
    </row>
    <row r="18">
      <c r="A18" s="4" t="inlineStr">
        <is>
          <t>APC-05</t>
        </is>
      </c>
      <c r="B18" s="4" t="inlineStr">
        <is>
          <t>Application coach</t>
        </is>
      </c>
      <c r="C18" s="4" t="inlineStr">
        <is>
          <t>Mes séances et ma rémunération</t>
        </is>
      </c>
      <c r="D18" s="4" t="inlineStr">
        <is>
          <t>V2</t>
        </is>
      </c>
      <c r="E18" s="4" t="inlineStr">
        <is>
          <t>F44</t>
        </is>
      </c>
      <c r="F18" s="4">
        <f>IFERROR(VLOOKUP($E18,Features!$A$2:$Q$74,6,FALSE),"")</f>
        <v/>
      </c>
      <c r="G18" s="17">
        <f>IFERROR(VLOOKUP($E18,Features!$A$2:$Q$74,15,FALSE),"")</f>
        <v/>
      </c>
    </row>
    <row r="19">
      <c r="A19" s="4" t="inlineStr">
        <is>
          <t>ADM-05</t>
        </is>
      </c>
      <c r="B19" s="4" t="inlineStr">
        <is>
          <t>Administration</t>
        </is>
      </c>
      <c r="C19" s="4" t="inlineStr">
        <is>
          <t>Règles d'automatisation</t>
        </is>
      </c>
      <c r="D19" s="4" t="inlineStr">
        <is>
          <t>V2</t>
        </is>
      </c>
      <c r="E19" s="4" t="inlineStr">
        <is>
          <t>F47</t>
        </is>
      </c>
      <c r="F19" s="4">
        <f>IFERROR(VLOOKUP($E19,Features!$A$2:$Q$74,6,FALSE),"")</f>
        <v/>
      </c>
      <c r="G19" s="17">
        <f>IFERROR(VLOOKUP($E19,Features!$A$2:$Q$74,15,FALSE),"")</f>
        <v/>
      </c>
    </row>
    <row r="21">
      <c r="A21" s="9" t="inlineStr">
        <is>
          <t>R5 — Rémunération et arrière-boutique</t>
        </is>
      </c>
    </row>
  </sheetData>
  <autoFilter ref="A1:G19"/>
  <conditionalFormatting sqref="F2:F19">
    <cfRule type="cellIs" priority="1" operator="equal" dxfId="0">
      <formula>"Waiting"</formula>
    </cfRule>
    <cfRule type="cellIs" priority="2" operator="equal" dxfId="1">
      <formula>"Cadrage"</formula>
    </cfRule>
    <cfRule type="cellIs" priority="3" operator="equal" dxfId="2">
      <formula>"Dev"</formula>
    </cfRule>
    <cfRule type="cellIs" priority="4" operator="equal" dxfId="3">
      <formula>"In test"</formula>
    </cfRule>
    <cfRule type="cellIs" priority="5" operator="equal" dxfId="4">
      <formula>"Production"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6" customWidth="1" min="2" max="2"/>
    <col width="44" customWidth="1" min="3" max="3"/>
    <col width="9" customWidth="1" min="4" max="4"/>
    <col width="10" customWidth="1" min="5" max="5"/>
    <col width="12" customWidth="1" min="6" max="6"/>
    <col width="15" customWidth="1" min="7" max="7"/>
  </cols>
  <sheetData>
    <row r="1" ht="30" customHeight="1">
      <c r="A1" s="16" t="inlineStr">
        <is>
          <t>ID</t>
        </is>
      </c>
      <c r="B1" s="16" t="inlineStr">
        <is>
          <t>Domaine</t>
        </is>
      </c>
      <c r="C1" s="16" t="inlineStr">
        <is>
          <t>Libellé</t>
        </is>
      </c>
      <c r="D1" s="16" t="inlineStr">
        <is>
          <t>Cahier</t>
        </is>
      </c>
      <c r="E1" s="16" t="inlineStr">
        <is>
          <t>Feature</t>
        </is>
      </c>
      <c r="F1" s="16" t="inlineStr">
        <is>
          <t>État</t>
        </is>
      </c>
      <c r="G1" s="16" t="inlineStr">
        <is>
          <t>Date production</t>
        </is>
      </c>
    </row>
    <row r="2">
      <c r="A2" s="4" t="inlineStr">
        <is>
          <t>FAM-14</t>
        </is>
      </c>
      <c r="B2" s="4" t="inlineStr">
        <is>
          <t>Familles / Adhérents</t>
        </is>
      </c>
      <c r="C2" s="4" t="inlineStr">
        <is>
          <t>Fusion de doublons</t>
        </is>
      </c>
      <c r="D2" s="4" t="inlineStr">
        <is>
          <t>V2</t>
        </is>
      </c>
      <c r="E2" s="4" t="inlineStr">
        <is>
          <t>F56</t>
        </is>
      </c>
      <c r="F2" s="4">
        <f>IFERROR(VLOOKUP($E2,Features!$A$2:$Q$74,6,FALSE),"")</f>
        <v/>
      </c>
      <c r="G2" s="17">
        <f>IFERROR(VLOOKUP($E2,Features!$A$2:$Q$74,15,FALSE),"")</f>
        <v/>
      </c>
    </row>
    <row r="3">
      <c r="A3" s="4" t="inlineStr">
        <is>
          <t>NIV-02</t>
        </is>
      </c>
      <c r="B3" s="4" t="inlineStr">
        <is>
          <t>Niveaux</t>
        </is>
      </c>
      <c r="C3" s="4" t="inlineStr">
        <is>
          <t>Référentiel de compétences</t>
        </is>
      </c>
      <c r="D3" s="4" t="inlineStr">
        <is>
          <t>V2</t>
        </is>
      </c>
      <c r="E3" s="4" t="inlineStr">
        <is>
          <t>F50</t>
        </is>
      </c>
      <c r="F3" s="4">
        <f>IFERROR(VLOOKUP($E3,Features!$A$2:$Q$74,6,FALSE),"")</f>
        <v/>
      </c>
      <c r="G3" s="17">
        <f>IFERROR(VLOOKUP($E3,Features!$A$2:$Q$74,15,FALSE),"")</f>
        <v/>
      </c>
    </row>
    <row r="4">
      <c r="A4" s="4" t="inlineStr">
        <is>
          <t>NIV-03</t>
        </is>
      </c>
      <c r="B4" s="4" t="inlineStr">
        <is>
          <t>Niveaux</t>
        </is>
      </c>
      <c r="C4" s="4" t="inlineStr">
        <is>
          <t>Évaluation</t>
        </is>
      </c>
      <c r="D4" s="4" t="inlineStr">
        <is>
          <t>V2</t>
        </is>
      </c>
      <c r="E4" s="4" t="inlineStr">
        <is>
          <t>F50</t>
        </is>
      </c>
      <c r="F4" s="4">
        <f>IFERROR(VLOOKUP($E4,Features!$A$2:$Q$74,6,FALSE),"")</f>
        <v/>
      </c>
      <c r="G4" s="17">
        <f>IFERROR(VLOOKUP($E4,Features!$A$2:$Q$74,15,FALSE),"")</f>
        <v/>
      </c>
    </row>
    <row r="5">
      <c r="A5" s="4" t="inlineStr">
        <is>
          <t>NIV-04</t>
        </is>
      </c>
      <c r="B5" s="4" t="inlineStr">
        <is>
          <t>Niveaux</t>
        </is>
      </c>
      <c r="C5" s="4" t="inlineStr">
        <is>
          <t>Critères de passage</t>
        </is>
      </c>
      <c r="D5" s="4" t="inlineStr">
        <is>
          <t>V2</t>
        </is>
      </c>
      <c r="E5" s="4" t="inlineStr">
        <is>
          <t>F51</t>
        </is>
      </c>
      <c r="F5" s="4">
        <f>IFERROR(VLOOKUP($E5,Features!$A$2:$Q$74,6,FALSE),"")</f>
        <v/>
      </c>
      <c r="G5" s="17">
        <f>IFERROR(VLOOKUP($E5,Features!$A$2:$Q$74,15,FALSE),"")</f>
        <v/>
      </c>
    </row>
    <row r="6">
      <c r="A6" s="4" t="inlineStr">
        <is>
          <t>NIV-05</t>
        </is>
      </c>
      <c r="B6" s="4" t="inlineStr">
        <is>
          <t>Niveaux</t>
        </is>
      </c>
      <c r="C6" s="4" t="inlineStr">
        <is>
          <t>Passage de niveau</t>
        </is>
      </c>
      <c r="D6" s="4" t="inlineStr">
        <is>
          <t>V2</t>
        </is>
      </c>
      <c r="E6" s="4" t="inlineStr">
        <is>
          <t>F51</t>
        </is>
      </c>
      <c r="F6" s="4">
        <f>IFERROR(VLOOKUP($E6,Features!$A$2:$Q$74,6,FALSE),"")</f>
        <v/>
      </c>
      <c r="G6" s="17">
        <f>IFERROR(VLOOKUP($E6,Features!$A$2:$Q$74,15,FALSE),"")</f>
        <v/>
      </c>
    </row>
    <row r="7">
      <c r="A7" s="4" t="inlineStr">
        <is>
          <t>RES-02</t>
        </is>
      </c>
      <c r="B7" s="4" t="inlineStr">
        <is>
          <t>Réservations</t>
        </is>
      </c>
      <c r="C7" s="4" t="inlineStr">
        <is>
          <t>Liste d'attente par groupe</t>
        </is>
      </c>
      <c r="D7" s="4" t="inlineStr">
        <is>
          <t>V2</t>
        </is>
      </c>
      <c r="E7" s="4" t="inlineStr">
        <is>
          <t>F54</t>
        </is>
      </c>
      <c r="F7" s="4">
        <f>IFERROR(VLOOKUP($E7,Features!$A$2:$Q$74,6,FALSE),"")</f>
        <v/>
      </c>
      <c r="G7" s="17">
        <f>IFERROR(VLOOKUP($E7,Features!$A$2:$Q$74,15,FALSE),"")</f>
        <v/>
      </c>
    </row>
    <row r="8">
      <c r="A8" s="4" t="inlineStr">
        <is>
          <t>RES-03</t>
        </is>
      </c>
      <c r="B8" s="4" t="inlineStr">
        <is>
          <t>Réservations</t>
        </is>
      </c>
      <c r="C8" s="4" t="inlineStr">
        <is>
          <t>Place réservée</t>
        </is>
      </c>
      <c r="D8" s="4" t="inlineStr">
        <is>
          <t>V2</t>
        </is>
      </c>
      <c r="E8" s="4" t="inlineStr">
        <is>
          <t>F54</t>
        </is>
      </c>
      <c r="F8" s="4">
        <f>IFERROR(VLOOKUP($E8,Features!$A$2:$Q$74,6,FALSE),"")</f>
        <v/>
      </c>
      <c r="G8" s="17">
        <f>IFERROR(VLOOKUP($E8,Features!$A$2:$Q$74,15,FALSE),"")</f>
        <v/>
      </c>
    </row>
    <row r="9">
      <c r="A9" s="4" t="inlineStr">
        <is>
          <t>INS-05</t>
        </is>
      </c>
      <c r="B9" s="4" t="inlineStr">
        <is>
          <t>Abonnements / Inscriptions</t>
        </is>
      </c>
      <c r="C9" s="4" t="inlineStr">
        <is>
          <t>Réinscription de saison</t>
        </is>
      </c>
      <c r="D9" s="4" t="inlineStr">
        <is>
          <t>V2</t>
        </is>
      </c>
      <c r="E9" s="4" t="inlineStr">
        <is>
          <t>F53</t>
        </is>
      </c>
      <c r="F9" s="4">
        <f>IFERROR(VLOOKUP($E9,Features!$A$2:$Q$74,6,FALSE),"")</f>
        <v/>
      </c>
      <c r="G9" s="17">
        <f>IFERROR(VLOOKUP($E9,Features!$A$2:$Q$74,15,FALSE),"")</f>
        <v/>
      </c>
    </row>
    <row r="10">
      <c r="A10" s="4" t="inlineStr">
        <is>
          <t>INS-06</t>
        </is>
      </c>
      <c r="B10" s="4" t="inlineStr">
        <is>
          <t>Abonnements / Inscriptions</t>
        </is>
      </c>
      <c r="C10" s="4" t="inlineStr">
        <is>
          <t>Pause</t>
        </is>
      </c>
      <c r="D10" s="4" t="inlineStr">
        <is>
          <t>V2</t>
        </is>
      </c>
      <c r="E10" s="4" t="inlineStr">
        <is>
          <t>F55</t>
        </is>
      </c>
      <c r="F10" s="4">
        <f>IFERROR(VLOOKUP($E10,Features!$A$2:$Q$74,6,FALSE),"")</f>
        <v/>
      </c>
      <c r="G10" s="17">
        <f>IFERROR(VLOOKUP($E10,Features!$A$2:$Q$74,15,FALSE),"")</f>
        <v/>
      </c>
    </row>
    <row r="11">
      <c r="A11" s="4" t="inlineStr">
        <is>
          <t>REP-04</t>
        </is>
      </c>
      <c r="B11" s="4" t="inlineStr">
        <is>
          <t>Reporting</t>
        </is>
      </c>
      <c r="C11" s="4" t="inlineStr">
        <is>
          <t>Rapports standard</t>
        </is>
      </c>
      <c r="D11" s="4" t="inlineStr">
        <is>
          <t>V2</t>
        </is>
      </c>
      <c r="E11" s="4" t="inlineStr">
        <is>
          <t>F57</t>
        </is>
      </c>
      <c r="F11" s="4">
        <f>IFERROR(VLOOKUP($E11,Features!$A$2:$Q$74,6,FALSE),"")</f>
        <v/>
      </c>
      <c r="G11" s="17">
        <f>IFERROR(VLOOKUP($E11,Features!$A$2:$Q$74,15,FALSE),"")</f>
        <v/>
      </c>
    </row>
    <row r="12">
      <c r="A12" s="4" t="inlineStr">
        <is>
          <t>MKT-03</t>
        </is>
      </c>
      <c r="B12" s="4" t="inlineStr">
        <is>
          <t>Marketing</t>
        </is>
      </c>
      <c r="C12" s="4" t="inlineStr">
        <is>
          <t>Relance des anciens</t>
        </is>
      </c>
      <c r="D12" s="4" t="inlineStr">
        <is>
          <t>V2</t>
        </is>
      </c>
      <c r="E12" s="4" t="inlineStr">
        <is>
          <t>F53</t>
        </is>
      </c>
      <c r="F12" s="4">
        <f>IFERROR(VLOOKUP($E12,Features!$A$2:$Q$74,6,FALSE),"")</f>
        <v/>
      </c>
      <c r="G12" s="17">
        <f>IFERROR(VLOOKUP($E12,Features!$A$2:$Q$74,15,FALSE),"")</f>
        <v/>
      </c>
    </row>
    <row r="13">
      <c r="A13" s="4" t="inlineStr">
        <is>
          <t>APC-04</t>
        </is>
      </c>
      <c r="B13" s="4" t="inlineStr">
        <is>
          <t>Application coach</t>
        </is>
      </c>
      <c r="C13" s="4" t="inlineStr">
        <is>
          <t>Évaluations</t>
        </is>
      </c>
      <c r="D13" s="4" t="inlineStr">
        <is>
          <t>V2</t>
        </is>
      </c>
      <c r="E13" s="4" t="inlineStr">
        <is>
          <t>F50</t>
        </is>
      </c>
      <c r="F13" s="4">
        <f>IFERROR(VLOOKUP($E13,Features!$A$2:$Q$74,6,FALSE),"")</f>
        <v/>
      </c>
      <c r="G13" s="17">
        <f>IFERROR(VLOOKUP($E13,Features!$A$2:$Q$74,15,FALSE),"")</f>
        <v/>
      </c>
    </row>
    <row r="14">
      <c r="A14" s="4" t="inlineStr">
        <is>
          <t>EVT-07</t>
        </is>
      </c>
      <c r="B14" s="4" t="inlineStr">
        <is>
          <t>Camp d'été et fin d'année</t>
        </is>
      </c>
      <c r="C14" s="4" t="inlineStr">
        <is>
          <t>Certificats et diplômes sportifs</t>
        </is>
      </c>
      <c r="D14" s="4" t="inlineStr">
        <is>
          <t>V2</t>
        </is>
      </c>
      <c r="E14" s="4" t="inlineStr">
        <is>
          <t>F52</t>
        </is>
      </c>
      <c r="F14" s="4">
        <f>IFERROR(VLOOKUP($E14,Features!$A$2:$Q$74,6,FALSE),"")</f>
        <v/>
      </c>
      <c r="G14" s="17">
        <f>IFERROR(VLOOKUP($E14,Features!$A$2:$Q$74,15,FALSE),"")</f>
        <v/>
      </c>
    </row>
    <row r="16">
      <c r="A16" s="9" t="inlineStr">
        <is>
          <t>R6 — Fin de saison et réinscription</t>
        </is>
      </c>
    </row>
  </sheetData>
  <autoFilter ref="A1:G14"/>
  <conditionalFormatting sqref="F2:F14">
    <cfRule type="cellIs" priority="1" operator="equal" dxfId="0">
      <formula>"Waiting"</formula>
    </cfRule>
    <cfRule type="cellIs" priority="2" operator="equal" dxfId="1">
      <formula>"Cadrage"</formula>
    </cfRule>
    <cfRule type="cellIs" priority="3" operator="equal" dxfId="2">
      <formula>"Dev"</formula>
    </cfRule>
    <cfRule type="cellIs" priority="4" operator="equal" dxfId="3">
      <formula>"In test"</formula>
    </cfRule>
    <cfRule type="cellIs" priority="5" operator="equal" dxfId="4">
      <formula>"Production"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6" customWidth="1" min="2" max="2"/>
    <col width="44" customWidth="1" min="3" max="3"/>
    <col width="9" customWidth="1" min="4" max="4"/>
    <col width="10" customWidth="1" min="5" max="5"/>
    <col width="12" customWidth="1" min="6" max="6"/>
    <col width="15" customWidth="1" min="7" max="7"/>
  </cols>
  <sheetData>
    <row r="1" ht="30" customHeight="1">
      <c r="A1" s="16" t="inlineStr">
        <is>
          <t>ID</t>
        </is>
      </c>
      <c r="B1" s="16" t="inlineStr">
        <is>
          <t>Domaine</t>
        </is>
      </c>
      <c r="C1" s="16" t="inlineStr">
        <is>
          <t>Libellé</t>
        </is>
      </c>
      <c r="D1" s="16" t="inlineStr">
        <is>
          <t>Cahier</t>
        </is>
      </c>
      <c r="E1" s="16" t="inlineStr">
        <is>
          <t>Feature</t>
        </is>
      </c>
      <c r="F1" s="16" t="inlineStr">
        <is>
          <t>État</t>
        </is>
      </c>
      <c r="G1" s="16" t="inlineStr">
        <is>
          <t>Date production</t>
        </is>
      </c>
    </row>
    <row r="2">
      <c r="A2" s="4" t="inlineStr">
        <is>
          <t>RES-07</t>
        </is>
      </c>
      <c r="B2" s="4" t="inlineStr">
        <is>
          <t>Réservations</t>
        </is>
      </c>
      <c r="C2" s="4" t="inlineStr">
        <is>
          <t>Stages et événements</t>
        </is>
      </c>
      <c r="D2" s="4" t="inlineStr">
        <is>
          <t>V2</t>
        </is>
      </c>
      <c r="E2" s="4" t="inlineStr">
        <is>
          <t>F60</t>
        </is>
      </c>
      <c r="F2" s="4">
        <f>IFERROR(VLOOKUP($E2,Features!$A$2:$Q$74,6,FALSE),"")</f>
        <v/>
      </c>
      <c r="G2" s="17">
        <f>IFERROR(VLOOKUP($E2,Features!$A$2:$Q$74,15,FALSE),"")</f>
        <v/>
      </c>
    </row>
    <row r="3">
      <c r="A3" s="4" t="inlineStr">
        <is>
          <t>EVT-01</t>
        </is>
      </c>
      <c r="B3" s="4" t="inlineStr">
        <is>
          <t>Camp d'été et fin d'année</t>
        </is>
      </c>
      <c r="C3" s="4" t="inlineStr">
        <is>
          <t>Programme de camp</t>
        </is>
      </c>
      <c r="D3" s="4" t="inlineStr">
        <is>
          <t>V2</t>
        </is>
      </c>
      <c r="E3" s="4" t="inlineStr">
        <is>
          <t>F58</t>
        </is>
      </c>
      <c r="F3" s="4">
        <f>IFERROR(VLOOKUP($E3,Features!$A$2:$Q$74,6,FALSE),"")</f>
        <v/>
      </c>
      <c r="G3" s="17">
        <f>IFERROR(VLOOKUP($E3,Features!$A$2:$Q$74,15,FALSE),"")</f>
        <v/>
      </c>
    </row>
    <row r="4">
      <c r="A4" s="4" t="inlineStr">
        <is>
          <t>EVT-02</t>
        </is>
      </c>
      <c r="B4" s="4" t="inlineStr">
        <is>
          <t>Camp d'été et fin d'année</t>
        </is>
      </c>
      <c r="C4" s="4" t="inlineStr">
        <is>
          <t>Emploi du temps journalier</t>
        </is>
      </c>
      <c r="D4" s="4" t="inlineStr">
        <is>
          <t>V2</t>
        </is>
      </c>
      <c r="E4" s="4" t="inlineStr">
        <is>
          <t>F58</t>
        </is>
      </c>
      <c r="F4" s="4">
        <f>IFERROR(VLOOKUP($E4,Features!$A$2:$Q$74,6,FALSE),"")</f>
        <v/>
      </c>
      <c r="G4" s="17">
        <f>IFERROR(VLOOKUP($E4,Features!$A$2:$Q$74,15,FALSE),"")</f>
        <v/>
      </c>
    </row>
    <row r="5">
      <c r="A5" s="4" t="inlineStr">
        <is>
          <t>EVT-03</t>
        </is>
      </c>
      <c r="B5" s="4" t="inlineStr">
        <is>
          <t>Camp d'été et fin d'année</t>
        </is>
      </c>
      <c r="C5" s="4" t="inlineStr">
        <is>
          <t>Inscription au camp, adhérent ou non</t>
        </is>
      </c>
      <c r="D5" s="4" t="inlineStr">
        <is>
          <t>V2</t>
        </is>
      </c>
      <c r="E5" s="4" t="inlineStr">
        <is>
          <t>F60</t>
        </is>
      </c>
      <c r="F5" s="4">
        <f>IFERROR(VLOOKUP($E5,Features!$A$2:$Q$74,6,FALSE),"")</f>
        <v/>
      </c>
      <c r="G5" s="17">
        <f>IFERROR(VLOOKUP($E5,Features!$A$2:$Q$74,15,FALSE),"")</f>
        <v/>
      </c>
    </row>
    <row r="6">
      <c r="A6" s="4" t="inlineStr">
        <is>
          <t>EVT-04</t>
        </is>
      </c>
      <c r="B6" s="4" t="inlineStr">
        <is>
          <t>Camp d'été et fin d'année</t>
        </is>
      </c>
      <c r="C6" s="4" t="inlineStr">
        <is>
          <t>Tarif du camp</t>
        </is>
      </c>
      <c r="D6" s="4" t="inlineStr">
        <is>
          <t>V2</t>
        </is>
      </c>
      <c r="E6" s="4" t="inlineStr">
        <is>
          <t>F59</t>
        </is>
      </c>
      <c r="F6" s="4">
        <f>IFERROR(VLOOKUP($E6,Features!$A$2:$Q$74,6,FALSE),"")</f>
        <v/>
      </c>
      <c r="G6" s="17">
        <f>IFERROR(VLOOKUP($E6,Features!$A$2:$Q$74,15,FALSE),"")</f>
        <v/>
      </c>
    </row>
    <row r="7">
      <c r="A7" s="4" t="inlineStr">
        <is>
          <t>EVT-05</t>
        </is>
      </c>
      <c r="B7" s="4" t="inlineStr">
        <is>
          <t>Camp d'été et fin d'année</t>
        </is>
      </c>
      <c r="C7" s="4" t="inlineStr">
        <is>
          <t>Journée continue</t>
        </is>
      </c>
      <c r="D7" s="4" t="inlineStr">
        <is>
          <t>V2</t>
        </is>
      </c>
      <c r="E7" s="4" t="inlineStr">
        <is>
          <t>F61</t>
        </is>
      </c>
      <c r="F7" s="4">
        <f>IFERROR(VLOOKUP($E7,Features!$A$2:$Q$74,6,FALSE),"")</f>
        <v/>
      </c>
      <c r="G7" s="17">
        <f>IFERROR(VLOOKUP($E7,Features!$A$2:$Q$74,15,FALSE),"")</f>
        <v/>
      </c>
    </row>
    <row r="9">
      <c r="A9" s="9" t="inlineStr">
        <is>
          <t>R7 — Camp d'été</t>
        </is>
      </c>
    </row>
  </sheetData>
  <autoFilter ref="A1:G7"/>
  <conditionalFormatting sqref="F2:F7">
    <cfRule type="cellIs" priority="1" operator="equal" dxfId="0">
      <formula>"Waiting"</formula>
    </cfRule>
    <cfRule type="cellIs" priority="2" operator="equal" dxfId="1">
      <formula>"Cadrage"</formula>
    </cfRule>
    <cfRule type="cellIs" priority="3" operator="equal" dxfId="2">
      <formula>"Dev"</formula>
    </cfRule>
    <cfRule type="cellIs" priority="4" operator="equal" dxfId="3">
      <formula>"In test"</formula>
    </cfRule>
    <cfRule type="cellIs" priority="5" operator="equal" dxfId="4">
      <formula>"Production"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6" customWidth="1" min="2" max="2"/>
    <col width="44" customWidth="1" min="3" max="3"/>
    <col width="9" customWidth="1" min="4" max="4"/>
    <col width="10" customWidth="1" min="5" max="5"/>
    <col width="12" customWidth="1" min="6" max="6"/>
    <col width="15" customWidth="1" min="7" max="7"/>
  </cols>
  <sheetData>
    <row r="1" ht="30" customHeight="1">
      <c r="A1" s="16" t="inlineStr">
        <is>
          <t>ID</t>
        </is>
      </c>
      <c r="B1" s="16" t="inlineStr">
        <is>
          <t>Domaine</t>
        </is>
      </c>
      <c r="C1" s="16" t="inlineStr">
        <is>
          <t>Libellé</t>
        </is>
      </c>
      <c r="D1" s="16" t="inlineStr">
        <is>
          <t>Cahier</t>
        </is>
      </c>
      <c r="E1" s="16" t="inlineStr">
        <is>
          <t>Feature</t>
        </is>
      </c>
      <c r="F1" s="16" t="inlineStr">
        <is>
          <t>État</t>
        </is>
      </c>
      <c r="G1" s="16" t="inlineStr">
        <is>
          <t>Date production</t>
        </is>
      </c>
    </row>
    <row r="2">
      <c r="A2" s="4" t="inlineStr">
        <is>
          <t>CRM-01</t>
        </is>
      </c>
      <c r="B2" s="4" t="inlineStr">
        <is>
          <t>CRM / Prospects</t>
        </is>
      </c>
      <c r="C2" s="4" t="inlineStr">
        <is>
          <t>Fiche prospect</t>
        </is>
      </c>
      <c r="D2" s="4" t="inlineStr">
        <is>
          <t>V2</t>
        </is>
      </c>
      <c r="E2" s="4" t="inlineStr">
        <is>
          <t>F68</t>
        </is>
      </c>
      <c r="F2" s="4">
        <f>IFERROR(VLOOKUP($E2,Features!$A$2:$Q$74,6,FALSE),"")</f>
        <v/>
      </c>
      <c r="G2" s="17">
        <f>IFERROR(VLOOKUP($E2,Features!$A$2:$Q$74,15,FALSE),"")</f>
        <v/>
      </c>
    </row>
    <row r="3">
      <c r="A3" s="4" t="inlineStr">
        <is>
          <t>CRM-02</t>
        </is>
      </c>
      <c r="B3" s="4" t="inlineStr">
        <is>
          <t>CRM / Prospects</t>
        </is>
      </c>
      <c r="C3" s="4" t="inlineStr">
        <is>
          <t>Entonnoir à étapes</t>
        </is>
      </c>
      <c r="D3" s="4" t="inlineStr">
        <is>
          <t>V2</t>
        </is>
      </c>
      <c r="E3" s="4" t="inlineStr">
        <is>
          <t>F68</t>
        </is>
      </c>
      <c r="F3" s="4">
        <f>IFERROR(VLOOKUP($E3,Features!$A$2:$Q$74,6,FALSE),"")</f>
        <v/>
      </c>
      <c r="G3" s="17">
        <f>IFERROR(VLOOKUP($E3,Features!$A$2:$Q$74,15,FALSE),"")</f>
        <v/>
      </c>
    </row>
    <row r="4">
      <c r="A4" s="4" t="inlineStr">
        <is>
          <t>CRM-03</t>
        </is>
      </c>
      <c r="B4" s="4" t="inlineStr">
        <is>
          <t>CRM / Prospects</t>
        </is>
      </c>
      <c r="C4" s="4" t="inlineStr">
        <is>
          <t>Conversion en famille</t>
        </is>
      </c>
      <c r="D4" s="4" t="inlineStr">
        <is>
          <t>V2</t>
        </is>
      </c>
      <c r="E4" s="4" t="inlineStr">
        <is>
          <t>F68</t>
        </is>
      </c>
      <c r="F4" s="4">
        <f>IFERROR(VLOOKUP($E4,Features!$A$2:$Q$74,6,FALSE),"")</f>
        <v/>
      </c>
      <c r="G4" s="17">
        <f>IFERROR(VLOOKUP($E4,Features!$A$2:$Q$74,15,FALSE),"")</f>
        <v/>
      </c>
    </row>
    <row r="5">
      <c r="A5" s="4" t="inlineStr">
        <is>
          <t>CRM-04</t>
        </is>
      </c>
      <c r="B5" s="4" t="inlineStr">
        <is>
          <t>CRM / Prospects</t>
        </is>
      </c>
      <c r="C5" s="4" t="inlineStr">
        <is>
          <t>Formulaire de contact public</t>
        </is>
      </c>
      <c r="D5" s="4" t="inlineStr">
        <is>
          <t>V2</t>
        </is>
      </c>
      <c r="E5" s="4" t="inlineStr">
        <is>
          <t>F68</t>
        </is>
      </c>
      <c r="F5" s="4">
        <f>IFERROR(VLOOKUP($E5,Features!$A$2:$Q$74,6,FALSE),"")</f>
        <v/>
      </c>
      <c r="G5" s="17">
        <f>IFERROR(VLOOKUP($E5,Features!$A$2:$Q$74,15,FALSE),"")</f>
        <v/>
      </c>
    </row>
    <row r="6">
      <c r="A6" s="4" t="inlineStr">
        <is>
          <t>CRM-05</t>
        </is>
      </c>
      <c r="B6" s="4" t="inlineStr">
        <is>
          <t>CRM / Prospects</t>
        </is>
      </c>
      <c r="C6" s="4" t="inlineStr">
        <is>
          <t>Relances automatiques</t>
        </is>
      </c>
      <c r="D6" s="4" t="inlineStr">
        <is>
          <t>V2</t>
        </is>
      </c>
      <c r="E6" s="4" t="inlineStr">
        <is>
          <t>F68</t>
        </is>
      </c>
      <c r="F6" s="4">
        <f>IFERROR(VLOOKUP($E6,Features!$A$2:$Q$74,6,FALSE),"")</f>
        <v/>
      </c>
      <c r="G6" s="17">
        <f>IFERROR(VLOOKUP($E6,Features!$A$2:$Q$74,15,FALSE),"")</f>
        <v/>
      </c>
    </row>
    <row r="7">
      <c r="A7" s="4" t="inlineStr">
        <is>
          <t>ONB-02</t>
        </is>
      </c>
      <c r="B7" s="4" t="inlineStr">
        <is>
          <t>Onboarding</t>
        </is>
      </c>
      <c r="C7" s="4" t="inlineStr">
        <is>
          <t>Saisie par le parent</t>
        </is>
      </c>
      <c r="D7" s="4" t="inlineStr">
        <is>
          <t>V2</t>
        </is>
      </c>
      <c r="E7" s="4" t="inlineStr">
        <is>
          <t>F65</t>
        </is>
      </c>
      <c r="F7" s="4">
        <f>IFERROR(VLOOKUP($E7,Features!$A$2:$Q$74,6,FALSE),"")</f>
        <v/>
      </c>
      <c r="G7" s="17">
        <f>IFERROR(VLOOKUP($E7,Features!$A$2:$Q$74,15,FALSE),"")</f>
        <v/>
      </c>
    </row>
    <row r="8">
      <c r="A8" s="4" t="inlineStr">
        <is>
          <t>RES-05</t>
        </is>
      </c>
      <c r="B8" s="4" t="inlineStr">
        <is>
          <t>Réservations</t>
        </is>
      </c>
      <c r="C8" s="4" t="inlineStr">
        <is>
          <t>Rattrapage</t>
        </is>
      </c>
      <c r="D8" s="4" t="inlineStr">
        <is>
          <t>V2</t>
        </is>
      </c>
      <c r="E8" s="4" t="inlineStr">
        <is>
          <t>F65</t>
        </is>
      </c>
      <c r="F8" s="4">
        <f>IFERROR(VLOOKUP($E8,Features!$A$2:$Q$74,6,FALSE),"")</f>
        <v/>
      </c>
      <c r="G8" s="17">
        <f>IFERROR(VLOOKUP($E8,Features!$A$2:$Q$74,15,FALSE),"")</f>
        <v/>
      </c>
    </row>
    <row r="9">
      <c r="A9" s="4" t="inlineStr">
        <is>
          <t>PRE-05</t>
        </is>
      </c>
      <c r="B9" s="4" t="inlineStr">
        <is>
          <t>Présences</t>
        </is>
      </c>
      <c r="C9" s="4" t="inlineStr">
        <is>
          <t>Absence déclarée</t>
        </is>
      </c>
      <c r="D9" s="4" t="inlineStr">
        <is>
          <t>V2</t>
        </is>
      </c>
      <c r="E9" s="4" t="inlineStr">
        <is>
          <t>F65</t>
        </is>
      </c>
      <c r="F9" s="4">
        <f>IFERROR(VLOOKUP($E9,Features!$A$2:$Q$74,6,FALSE),"")</f>
        <v/>
      </c>
      <c r="G9" s="17">
        <f>IFERROR(VLOOKUP($E9,Features!$A$2:$Q$74,15,FALSE),"")</f>
        <v/>
      </c>
    </row>
    <row r="10">
      <c r="A10" s="4" t="inlineStr">
        <is>
          <t>FAC-10</t>
        </is>
      </c>
      <c r="B10" s="4" t="inlineStr">
        <is>
          <t>Paiements</t>
        </is>
      </c>
      <c r="C10" s="4" t="inlineStr">
        <is>
          <t>Lien de paiement en ligne</t>
        </is>
      </c>
      <c r="D10" s="4" t="inlineStr">
        <is>
          <t>V2</t>
        </is>
      </c>
      <c r="E10" s="4" t="inlineStr">
        <is>
          <t>F63</t>
        </is>
      </c>
      <c r="F10" s="4">
        <f>IFERROR(VLOOKUP($E10,Features!$A$2:$Q$74,6,FALSE),"")</f>
        <v/>
      </c>
      <c r="G10" s="17">
        <f>IFERROR(VLOOKUP($E10,Features!$A$2:$Q$74,15,FALSE),"")</f>
        <v/>
      </c>
    </row>
    <row r="11">
      <c r="A11" s="4" t="inlineStr">
        <is>
          <t>COM-03</t>
        </is>
      </c>
      <c r="B11" s="4" t="inlineStr">
        <is>
          <t>Communication parents</t>
        </is>
      </c>
      <c r="C11" s="4" t="inlineStr">
        <is>
          <t>Annonces</t>
        </is>
      </c>
      <c r="D11" s="4" t="inlineStr">
        <is>
          <t>V2</t>
        </is>
      </c>
      <c r="E11" s="4" t="inlineStr">
        <is>
          <t>F67</t>
        </is>
      </c>
      <c r="F11" s="4">
        <f>IFERROR(VLOOKUP($E11,Features!$A$2:$Q$74,6,FALSE),"")</f>
        <v/>
      </c>
      <c r="G11" s="17">
        <f>IFERROR(VLOOKUP($E11,Features!$A$2:$Q$74,15,FALSE),"")</f>
        <v/>
      </c>
    </row>
    <row r="12">
      <c r="A12" s="4" t="inlineStr">
        <is>
          <t>COM-04</t>
        </is>
      </c>
      <c r="B12" s="4" t="inlineStr">
        <is>
          <t>Communication parents</t>
        </is>
      </c>
      <c r="C12" s="4" t="inlineStr">
        <is>
          <t>Message du coach</t>
        </is>
      </c>
      <c r="D12" s="4" t="inlineStr">
        <is>
          <t>V2</t>
        </is>
      </c>
      <c r="E12" s="4" t="inlineStr">
        <is>
          <t>F67</t>
        </is>
      </c>
      <c r="F12" s="4">
        <f>IFERROR(VLOOKUP($E12,Features!$A$2:$Q$74,6,FALSE),"")</f>
        <v/>
      </c>
      <c r="G12" s="17">
        <f>IFERROR(VLOOKUP($E12,Features!$A$2:$Q$74,15,FALSE),"")</f>
        <v/>
      </c>
    </row>
    <row r="13">
      <c r="A13" s="4" t="inlineStr">
        <is>
          <t>MKT-01</t>
        </is>
      </c>
      <c r="B13" s="4" t="inlineStr">
        <is>
          <t>Marketing</t>
        </is>
      </c>
      <c r="C13" s="4" t="inlineStr">
        <is>
          <t>Campagnes WhatsApp / SMS / email</t>
        </is>
      </c>
      <c r="D13" s="4" t="inlineStr">
        <is>
          <t>V2</t>
        </is>
      </c>
      <c r="E13" s="4" t="inlineStr">
        <is>
          <t>F69</t>
        </is>
      </c>
      <c r="F13" s="4">
        <f>IFERROR(VLOOKUP($E13,Features!$A$2:$Q$74,6,FALSE),"")</f>
        <v/>
      </c>
      <c r="G13" s="17">
        <f>IFERROR(VLOOKUP($E13,Features!$A$2:$Q$74,15,FALSE),"")</f>
        <v/>
      </c>
    </row>
    <row r="14">
      <c r="A14" s="4" t="inlineStr">
        <is>
          <t>APP-01</t>
        </is>
      </c>
      <c r="B14" s="4" t="inlineStr">
        <is>
          <t>Application parent</t>
        </is>
      </c>
      <c r="C14" s="4" t="inlineStr">
        <is>
          <t>Portail web mobile</t>
        </is>
      </c>
      <c r="D14" s="4" t="inlineStr">
        <is>
          <t>V2</t>
        </is>
      </c>
      <c r="E14" s="4" t="inlineStr">
        <is>
          <t>F62</t>
        </is>
      </c>
      <c r="F14" s="4">
        <f>IFERROR(VLOOKUP($E14,Features!$A$2:$Q$74,6,FALSE),"")</f>
        <v/>
      </c>
      <c r="G14" s="17">
        <f>IFERROR(VLOOKUP($E14,Features!$A$2:$Q$74,15,FALSE),"")</f>
        <v/>
      </c>
    </row>
    <row r="15">
      <c r="A15" s="4" t="inlineStr">
        <is>
          <t>APP-02</t>
        </is>
      </c>
      <c r="B15" s="4" t="inlineStr">
        <is>
          <t>Application parent</t>
        </is>
      </c>
      <c r="C15" s="4" t="inlineStr">
        <is>
          <t>Enfants et planning</t>
        </is>
      </c>
      <c r="D15" s="4" t="inlineStr">
        <is>
          <t>V2</t>
        </is>
      </c>
      <c r="E15" s="4" t="inlineStr">
        <is>
          <t>F62</t>
        </is>
      </c>
      <c r="F15" s="4">
        <f>IFERROR(VLOOKUP($E15,Features!$A$2:$Q$74,6,FALSE),"")</f>
        <v/>
      </c>
      <c r="G15" s="17">
        <f>IFERROR(VLOOKUP($E15,Features!$A$2:$Q$74,15,FALSE),"")</f>
        <v/>
      </c>
    </row>
    <row r="16">
      <c r="A16" s="4" t="inlineStr">
        <is>
          <t>APP-03</t>
        </is>
      </c>
      <c r="B16" s="4" t="inlineStr">
        <is>
          <t>Application parent</t>
        </is>
      </c>
      <c r="C16" s="4" t="inlineStr">
        <is>
          <t>Factures et solde</t>
        </is>
      </c>
      <c r="D16" s="4" t="inlineStr">
        <is>
          <t>V2</t>
        </is>
      </c>
      <c r="E16" s="4" t="inlineStr">
        <is>
          <t>F63</t>
        </is>
      </c>
      <c r="F16" s="4">
        <f>IFERROR(VLOOKUP($E16,Features!$A$2:$Q$74,6,FALSE),"")</f>
        <v/>
      </c>
      <c r="G16" s="17">
        <f>IFERROR(VLOOKUP($E16,Features!$A$2:$Q$74,15,FALSE),"")</f>
        <v/>
      </c>
    </row>
    <row r="17">
      <c r="A17" s="4" t="inlineStr">
        <is>
          <t>APP-04</t>
        </is>
      </c>
      <c r="B17" s="4" t="inlineStr">
        <is>
          <t>Application parent</t>
        </is>
      </c>
      <c r="C17" s="4" t="inlineStr">
        <is>
          <t>Présences et progression</t>
        </is>
      </c>
      <c r="D17" s="4" t="inlineStr">
        <is>
          <t>V2</t>
        </is>
      </c>
      <c r="E17" s="4" t="inlineStr">
        <is>
          <t>F64</t>
        </is>
      </c>
      <c r="F17" s="4">
        <f>IFERROR(VLOOKUP($E17,Features!$A$2:$Q$74,6,FALSE),"")</f>
        <v/>
      </c>
      <c r="G17" s="17">
        <f>IFERROR(VLOOKUP($E17,Features!$A$2:$Q$74,15,FALSE),"")</f>
        <v/>
      </c>
    </row>
    <row r="18">
      <c r="A18" s="4" t="inlineStr">
        <is>
          <t>APP-05</t>
        </is>
      </c>
      <c r="B18" s="4" t="inlineStr">
        <is>
          <t>Application parent</t>
        </is>
      </c>
      <c r="C18" s="4" t="inlineStr">
        <is>
          <t>Démarches</t>
        </is>
      </c>
      <c r="D18" s="4" t="inlineStr">
        <is>
          <t>V2</t>
        </is>
      </c>
      <c r="E18" s="4" t="inlineStr">
        <is>
          <t>F65</t>
        </is>
      </c>
      <c r="F18" s="4">
        <f>IFERROR(VLOOKUP($E18,Features!$A$2:$Q$74,6,FALSE),"")</f>
        <v/>
      </c>
      <c r="G18" s="17">
        <f>IFERROR(VLOOKUP($E18,Features!$A$2:$Q$74,15,FALSE),"")</f>
        <v/>
      </c>
    </row>
    <row r="19">
      <c r="A19" s="4" t="inlineStr">
        <is>
          <t>APP-06</t>
        </is>
      </c>
      <c r="B19" s="4" t="inlineStr">
        <is>
          <t>Application parent</t>
        </is>
      </c>
      <c r="C19" s="4" t="inlineStr">
        <is>
          <t>Carte famille QR</t>
        </is>
      </c>
      <c r="D19" s="4" t="inlineStr">
        <is>
          <t>V2</t>
        </is>
      </c>
      <c r="E19" s="4" t="inlineStr">
        <is>
          <t>F66</t>
        </is>
      </c>
      <c r="F19" s="4">
        <f>IFERROR(VLOOKUP($E19,Features!$A$2:$Q$74,6,FALSE),"")</f>
        <v/>
      </c>
      <c r="G19" s="17">
        <f>IFERROR(VLOOKUP($E19,Features!$A$2:$Q$74,15,FALSE),"")</f>
        <v/>
      </c>
    </row>
    <row r="20">
      <c r="A20" s="4" t="inlineStr">
        <is>
          <t>INT-02</t>
        </is>
      </c>
      <c r="B20" s="4" t="inlineStr">
        <is>
          <t>API / Intégrations</t>
        </is>
      </c>
      <c r="C20" s="4" t="inlineStr">
        <is>
          <t>Paiement</t>
        </is>
      </c>
      <c r="D20" s="4" t="inlineStr">
        <is>
          <t>V2</t>
        </is>
      </c>
      <c r="E20" s="4" t="inlineStr">
        <is>
          <t>F63</t>
        </is>
      </c>
      <c r="F20" s="4">
        <f>IFERROR(VLOOKUP($E20,Features!$A$2:$Q$74,6,FALSE),"")</f>
        <v/>
      </c>
      <c r="G20" s="17">
        <f>IFERROR(VLOOKUP($E20,Features!$A$2:$Q$74,15,FALSE),"")</f>
        <v/>
      </c>
    </row>
    <row r="21">
      <c r="A21" s="4" t="inlineStr">
        <is>
          <t>PLT-08</t>
        </is>
      </c>
      <c r="B21" s="4" t="inlineStr">
        <is>
          <t>Multi-clubs / multi-sites</t>
        </is>
      </c>
      <c r="C21" s="4" t="inlineStr">
        <is>
          <t>Langues</t>
        </is>
      </c>
      <c r="D21" s="4" t="inlineStr">
        <is>
          <t>V2</t>
        </is>
      </c>
      <c r="E21" s="4" t="inlineStr">
        <is>
          <t>F70</t>
        </is>
      </c>
      <c r="F21" s="4">
        <f>IFERROR(VLOOKUP($E21,Features!$A$2:$Q$74,6,FALSE),"")</f>
        <v/>
      </c>
      <c r="G21" s="17">
        <f>IFERROR(VLOOKUP($E21,Features!$A$2:$Q$74,15,FALSE),"")</f>
        <v/>
      </c>
    </row>
    <row r="23">
      <c r="A23" s="9" t="inlineStr">
        <is>
          <t>R8 — Portail parent et acquisition</t>
        </is>
      </c>
    </row>
  </sheetData>
  <autoFilter ref="A1:G21"/>
  <conditionalFormatting sqref="F2:F21">
    <cfRule type="cellIs" priority="1" operator="equal" dxfId="0">
      <formula>"Waiting"</formula>
    </cfRule>
    <cfRule type="cellIs" priority="2" operator="equal" dxfId="1">
      <formula>"Cadrage"</formula>
    </cfRule>
    <cfRule type="cellIs" priority="3" operator="equal" dxfId="2">
      <formula>"Dev"</formula>
    </cfRule>
    <cfRule type="cellIs" priority="4" operator="equal" dxfId="3">
      <formula>"In test"</formula>
    </cfRule>
    <cfRule type="cellIs" priority="5" operator="equal" dxfId="4">
      <formula>"Production"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6" customWidth="1" min="2" max="2"/>
    <col width="44" customWidth="1" min="3" max="3"/>
    <col width="9" customWidth="1" min="4" max="4"/>
    <col width="10" customWidth="1" min="5" max="5"/>
    <col width="12" customWidth="1" min="6" max="6"/>
    <col width="15" customWidth="1" min="7" max="7"/>
  </cols>
  <sheetData>
    <row r="1" ht="30" customHeight="1">
      <c r="A1" s="16" t="inlineStr">
        <is>
          <t>ID</t>
        </is>
      </c>
      <c r="B1" s="16" t="inlineStr">
        <is>
          <t>Domaine</t>
        </is>
      </c>
      <c r="C1" s="16" t="inlineStr">
        <is>
          <t>Libellé</t>
        </is>
      </c>
      <c r="D1" s="16" t="inlineStr">
        <is>
          <t>Cahier</t>
        </is>
      </c>
      <c r="E1" s="16" t="inlineStr">
        <is>
          <t>Feature</t>
        </is>
      </c>
      <c r="F1" s="16" t="inlineStr">
        <is>
          <t>État</t>
        </is>
      </c>
      <c r="G1" s="16" t="inlineStr">
        <is>
          <t>Date production</t>
        </is>
      </c>
    </row>
    <row r="2">
      <c r="A2" s="4" t="inlineStr">
        <is>
          <t>ADM-02</t>
        </is>
      </c>
      <c r="B2" s="4" t="inlineStr">
        <is>
          <t>Administration</t>
        </is>
      </c>
      <c r="C2" s="4" t="inlineStr">
        <is>
          <t>Assistant de démarrage</t>
        </is>
      </c>
      <c r="D2" s="4" t="inlineStr">
        <is>
          <t>MVP</t>
        </is>
      </c>
      <c r="E2" s="4" t="inlineStr">
        <is>
          <t>F71</t>
        </is>
      </c>
      <c r="F2" s="4">
        <f>IFERROR(VLOOKUP($E2,Features!$A$2:$Q$74,6,FALSE),"")</f>
        <v/>
      </c>
      <c r="G2" s="17">
        <f>IFERROR(VLOOKUP($E2,Features!$A$2:$Q$74,15,FALSE),"")</f>
        <v/>
      </c>
    </row>
    <row r="3">
      <c r="A3" s="4" t="inlineStr">
        <is>
          <t>ADM-03</t>
        </is>
      </c>
      <c r="B3" s="4" t="inlineStr">
        <is>
          <t>Administration</t>
        </is>
      </c>
      <c r="C3" s="4" t="inlineStr">
        <is>
          <t>Champs personnalisés</t>
        </is>
      </c>
      <c r="D3" s="4" t="inlineStr">
        <is>
          <t>V2</t>
        </is>
      </c>
      <c r="E3" s="4" t="inlineStr">
        <is>
          <t>F71</t>
        </is>
      </c>
      <c r="F3" s="4">
        <f>IFERROR(VLOOKUP($E3,Features!$A$2:$Q$74,6,FALSE),"")</f>
        <v/>
      </c>
      <c r="G3" s="17">
        <f>IFERROR(VLOOKUP($E3,Features!$A$2:$Q$74,15,FALSE),"")</f>
        <v/>
      </c>
    </row>
    <row r="4">
      <c r="A4" s="4" t="inlineStr">
        <is>
          <t>PLT-02</t>
        </is>
      </c>
      <c r="B4" s="4" t="inlineStr">
        <is>
          <t>Multi-clubs / multi-sites</t>
        </is>
      </c>
      <c r="C4" s="4" t="inlineStr">
        <is>
          <t>Utilisateur multi-clubs</t>
        </is>
      </c>
      <c r="D4" s="4" t="inlineStr">
        <is>
          <t>MVP</t>
        </is>
      </c>
      <c r="E4" s="4" t="inlineStr">
        <is>
          <t>F72</t>
        </is>
      </c>
      <c r="F4" s="4">
        <f>IFERROR(VLOOKUP($E4,Features!$A$2:$Q$74,6,FALSE),"")</f>
        <v/>
      </c>
      <c r="G4" s="17">
        <f>IFERROR(VLOOKUP($E4,Features!$A$2:$Q$74,15,FALSE),"")</f>
        <v/>
      </c>
    </row>
    <row r="5">
      <c r="A5" s="4" t="inlineStr">
        <is>
          <t>PLT-07</t>
        </is>
      </c>
      <c r="B5" s="4" t="inlineStr">
        <is>
          <t>Multi-clubs / multi-sites</t>
        </is>
      </c>
      <c r="C5" s="4" t="inlineStr">
        <is>
          <t>Abonnement SaaS</t>
        </is>
      </c>
      <c r="D5" s="4" t="inlineStr">
        <is>
          <t>V2</t>
        </is>
      </c>
      <c r="E5" s="4" t="inlineStr">
        <is>
          <t>F73</t>
        </is>
      </c>
      <c r="F5" s="4">
        <f>IFERROR(VLOOKUP($E5,Features!$A$2:$Q$74,6,FALSE),"")</f>
        <v/>
      </c>
      <c r="G5" s="17">
        <f>IFERROR(VLOOKUP($E5,Features!$A$2:$Q$74,15,FALSE),"")</f>
        <v/>
      </c>
    </row>
    <row r="7">
      <c r="A7" s="9" t="inlineStr">
        <is>
          <t>R9 — Deuxième club</t>
        </is>
      </c>
    </row>
  </sheetData>
  <autoFilter ref="A1:G5"/>
  <conditionalFormatting sqref="F2:F5">
    <cfRule type="cellIs" priority="1" operator="equal" dxfId="0">
      <formula>"Waiting"</formula>
    </cfRule>
    <cfRule type="cellIs" priority="2" operator="equal" dxfId="1">
      <formula>"Cadrage"</formula>
    </cfRule>
    <cfRule type="cellIs" priority="3" operator="equal" dxfId="2">
      <formula>"Dev"</formula>
    </cfRule>
    <cfRule type="cellIs" priority="4" operator="equal" dxfId="3">
      <formula>"In test"</formula>
    </cfRule>
    <cfRule type="cellIs" priority="5" operator="equal" dxfId="4">
      <formula>"Production"</formula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6" customWidth="1" min="2" max="2"/>
    <col width="44" customWidth="1" min="3" max="3"/>
    <col width="9" customWidth="1" min="4" max="4"/>
    <col width="10" customWidth="1" min="5" max="5"/>
    <col width="12" customWidth="1" min="6" max="6"/>
    <col width="15" customWidth="1" min="7" max="7"/>
  </cols>
  <sheetData>
    <row r="1" ht="30" customHeight="1">
      <c r="A1" s="16" t="inlineStr">
        <is>
          <t>ID</t>
        </is>
      </c>
      <c r="B1" s="16" t="inlineStr">
        <is>
          <t>Domaine</t>
        </is>
      </c>
      <c r="C1" s="16" t="inlineStr">
        <is>
          <t>Libellé</t>
        </is>
      </c>
      <c r="D1" s="16" t="inlineStr">
        <is>
          <t>Cahier</t>
        </is>
      </c>
      <c r="E1" s="16" t="inlineStr">
        <is>
          <t>Feature</t>
        </is>
      </c>
      <c r="F1" s="16" t="inlineStr">
        <is>
          <t>État</t>
        </is>
      </c>
      <c r="G1" s="16" t="inlineStr">
        <is>
          <t>Date production</t>
        </is>
      </c>
    </row>
    <row r="2">
      <c r="A2" s="4" t="inlineStr">
        <is>
          <t>STK-04</t>
        </is>
      </c>
      <c r="B2" s="4" t="inlineStr">
        <is>
          <t>Stock</t>
        </is>
      </c>
      <c r="C2" s="4" t="inlineStr">
        <is>
          <t>Inventaire</t>
        </is>
      </c>
      <c r="D2" s="4" t="inlineStr">
        <is>
          <t>V3</t>
        </is>
      </c>
      <c r="E2" s="4" t="inlineStr">
        <is>
          <t>Écartés</t>
        </is>
      </c>
      <c r="F2" s="4">
        <f>IFERROR(VLOOKUP($E2,Features!$A$2:$Q$74,6,FALSE),"")</f>
        <v/>
      </c>
      <c r="G2" s="17">
        <f>IFERROR(VLOOKUP($E2,Features!$A$2:$Q$74,15,FALSE),"")</f>
        <v/>
      </c>
    </row>
    <row r="3">
      <c r="A3" s="4" t="inlineStr">
        <is>
          <t>STK-05</t>
        </is>
      </c>
      <c r="B3" s="4" t="inlineStr">
        <is>
          <t>Stock</t>
        </is>
      </c>
      <c r="C3" s="4" t="inlineStr">
        <is>
          <t>Coût d'achat, marge, fournisseurs</t>
        </is>
      </c>
      <c r="D3" s="4" t="inlineStr">
        <is>
          <t>V3</t>
        </is>
      </c>
      <c r="E3" s="4" t="inlineStr">
        <is>
          <t>Écartés</t>
        </is>
      </c>
      <c r="F3" s="4">
        <f>IFERROR(VLOOKUP($E3,Features!$A$2:$Q$74,6,FALSE),"")</f>
        <v/>
      </c>
      <c r="G3" s="17">
        <f>IFERROR(VLOOKUP($E3,Features!$A$2:$Q$74,15,FALSE),"")</f>
        <v/>
      </c>
    </row>
    <row r="4">
      <c r="A4" s="4" t="inlineStr">
        <is>
          <t>FIN-06</t>
        </is>
      </c>
      <c r="B4" s="4" t="inlineStr">
        <is>
          <t>Finance</t>
        </is>
      </c>
      <c r="C4" s="4" t="inlineStr">
        <is>
          <t>Rapprochement bancaire</t>
        </is>
      </c>
      <c r="D4" s="4" t="inlineStr">
        <is>
          <t>V3</t>
        </is>
      </c>
      <c r="E4" s="4" t="inlineStr">
        <is>
          <t>Écartés</t>
        </is>
      </c>
      <c r="F4" s="4">
        <f>IFERROR(VLOOKUP($E4,Features!$A$2:$Q$74,6,FALSE),"")</f>
        <v/>
      </c>
      <c r="G4" s="17">
        <f>IFERROR(VLOOKUP($E4,Features!$A$2:$Q$74,15,FALSE),"")</f>
        <v/>
      </c>
    </row>
    <row r="5">
      <c r="A5" s="4" t="inlineStr">
        <is>
          <t>FIN-07</t>
        </is>
      </c>
      <c r="B5" s="4" t="inlineStr">
        <is>
          <t>Finance</t>
        </is>
      </c>
      <c r="C5" s="4" t="inlineStr">
        <is>
          <t>Produits constatés d'avance</t>
        </is>
      </c>
      <c r="D5" s="4" t="inlineStr">
        <is>
          <t>V3</t>
        </is>
      </c>
      <c r="E5" s="4" t="inlineStr">
        <is>
          <t>Écartés</t>
        </is>
      </c>
      <c r="F5" s="4">
        <f>IFERROR(VLOOKUP($E5,Features!$A$2:$Q$74,6,FALSE),"")</f>
        <v/>
      </c>
      <c r="G5" s="17">
        <f>IFERROR(VLOOKUP($E5,Features!$A$2:$Q$74,15,FALSE),"")</f>
        <v/>
      </c>
    </row>
    <row r="6">
      <c r="A6" s="4" t="inlineStr">
        <is>
          <t>CPT-05</t>
        </is>
      </c>
      <c r="B6" s="4" t="inlineStr">
        <is>
          <t>Comptabilité</t>
        </is>
      </c>
      <c r="C6" s="4" t="inlineStr">
        <is>
          <t>Format de facture structuré</t>
        </is>
      </c>
      <c r="D6" s="4" t="inlineStr">
        <is>
          <t>V3</t>
        </is>
      </c>
      <c r="E6" s="4" t="inlineStr">
        <is>
          <t>Écartés</t>
        </is>
      </c>
      <c r="F6" s="4">
        <f>IFERROR(VLOOKUP($E6,Features!$A$2:$Q$74,6,FALSE),"")</f>
        <v/>
      </c>
      <c r="G6" s="17">
        <f>IFERROR(VLOOKUP($E6,Features!$A$2:$Q$74,15,FALSE),"")</f>
        <v/>
      </c>
    </row>
    <row r="7">
      <c r="A7" s="4" t="inlineStr">
        <is>
          <t>REP-06</t>
        </is>
      </c>
      <c r="B7" s="4" t="inlineStr">
        <is>
          <t>Reporting</t>
        </is>
      </c>
      <c r="C7" s="4" t="inlineStr">
        <is>
          <t>Rétention</t>
        </is>
      </c>
      <c r="D7" s="4" t="inlineStr">
        <is>
          <t>V3</t>
        </is>
      </c>
      <c r="E7" s="4" t="inlineStr">
        <is>
          <t>Écartés</t>
        </is>
      </c>
      <c r="F7" s="4">
        <f>IFERROR(VLOOKUP($E7,Features!$A$2:$Q$74,6,FALSE),"")</f>
        <v/>
      </c>
      <c r="G7" s="17">
        <f>IFERROR(VLOOKUP($E7,Features!$A$2:$Q$74,15,FALSE),"")</f>
        <v/>
      </c>
    </row>
    <row r="8">
      <c r="A8" s="4" t="inlineStr">
        <is>
          <t>MKT-02</t>
        </is>
      </c>
      <c r="B8" s="4" t="inlineStr">
        <is>
          <t>Marketing</t>
        </is>
      </c>
      <c r="C8" s="4" t="inlineStr">
        <is>
          <t>Parrainage</t>
        </is>
      </c>
      <c r="D8" s="4" t="inlineStr">
        <is>
          <t>V3</t>
        </is>
      </c>
      <c r="E8" s="4" t="inlineStr">
        <is>
          <t>Écartés</t>
        </is>
      </c>
      <c r="F8" s="4">
        <f>IFERROR(VLOOKUP($E8,Features!$A$2:$Q$74,6,FALSE),"")</f>
        <v/>
      </c>
      <c r="G8" s="17">
        <f>IFERROR(VLOOKUP($E8,Features!$A$2:$Q$74,15,FALSE),"")</f>
        <v/>
      </c>
    </row>
    <row r="9">
      <c r="A9" s="4" t="inlineStr">
        <is>
          <t>MKT-04</t>
        </is>
      </c>
      <c r="B9" s="4" t="inlineStr">
        <is>
          <t>Marketing</t>
        </is>
      </c>
      <c r="C9" s="4" t="inlineStr">
        <is>
          <t>Aide à la rédaction par IA</t>
        </is>
      </c>
      <c r="D9" s="4" t="inlineStr">
        <is>
          <t>V3</t>
        </is>
      </c>
      <c r="E9" s="4" t="inlineStr">
        <is>
          <t>Écartés</t>
        </is>
      </c>
      <c r="F9" s="4">
        <f>IFERROR(VLOOKUP($E9,Features!$A$2:$Q$74,6,FALSE),"")</f>
        <v/>
      </c>
      <c r="G9" s="17">
        <f>IFERROR(VLOOKUP($E9,Features!$A$2:$Q$74,15,FALSE),"")</f>
        <v/>
      </c>
    </row>
    <row r="10">
      <c r="A10" s="4" t="inlineStr">
        <is>
          <t>APP-07</t>
        </is>
      </c>
      <c r="B10" s="4" t="inlineStr">
        <is>
          <t>Application parent</t>
        </is>
      </c>
      <c r="C10" s="4" t="inlineStr">
        <is>
          <t>Application native et push</t>
        </is>
      </c>
      <c r="D10" s="4" t="inlineStr">
        <is>
          <t>V3</t>
        </is>
      </c>
      <c r="E10" s="4" t="inlineStr">
        <is>
          <t>Écartés</t>
        </is>
      </c>
      <c r="F10" s="4">
        <f>IFERROR(VLOOKUP($E10,Features!$A$2:$Q$74,6,FALSE),"")</f>
        <v/>
      </c>
      <c r="G10" s="17">
        <f>IFERROR(VLOOKUP($E10,Features!$A$2:$Q$74,15,FALSE),"")</f>
        <v/>
      </c>
    </row>
    <row r="11">
      <c r="A11" s="4" t="inlineStr">
        <is>
          <t>INT-04</t>
        </is>
      </c>
      <c r="B11" s="4" t="inlineStr">
        <is>
          <t>API / Intégrations</t>
        </is>
      </c>
      <c r="C11" s="4" t="inlineStr">
        <is>
          <t>API publique et webhooks</t>
        </is>
      </c>
      <c r="D11" s="4" t="inlineStr">
        <is>
          <t>V3</t>
        </is>
      </c>
      <c r="E11" s="4" t="inlineStr">
        <is>
          <t>Écartés</t>
        </is>
      </c>
      <c r="F11" s="4">
        <f>IFERROR(VLOOKUP($E11,Features!$A$2:$Q$74,6,FALSE),"")</f>
        <v/>
      </c>
      <c r="G11" s="17">
        <f>IFERROR(VLOOKUP($E11,Features!$A$2:$Q$74,15,FALSE),"")</f>
        <v/>
      </c>
    </row>
    <row r="12">
      <c r="A12" s="4" t="inlineStr">
        <is>
          <t>INT-05</t>
        </is>
      </c>
      <c r="B12" s="4" t="inlineStr">
        <is>
          <t>API / Intégrations</t>
        </is>
      </c>
      <c r="C12" s="4" t="inlineStr">
        <is>
          <t>Calendrier</t>
        </is>
      </c>
      <c r="D12" s="4" t="inlineStr">
        <is>
          <t>V3</t>
        </is>
      </c>
      <c r="E12" s="4" t="inlineStr">
        <is>
          <t>Écartés</t>
        </is>
      </c>
      <c r="F12" s="4">
        <f>IFERROR(VLOOKUP($E12,Features!$A$2:$Q$74,6,FALSE),"")</f>
        <v/>
      </c>
      <c r="G12" s="17">
        <f>IFERROR(VLOOKUP($E12,Features!$A$2:$Q$74,15,FALSE),"")</f>
        <v/>
      </c>
    </row>
    <row r="13">
      <c r="A13" s="4" t="inlineStr">
        <is>
          <t>PLT-03</t>
        </is>
      </c>
      <c r="B13" s="4" t="inlineStr">
        <is>
          <t>Multi-clubs / multi-sites</t>
        </is>
      </c>
      <c r="C13" s="4" t="inlineStr">
        <is>
          <t>Sites</t>
        </is>
      </c>
      <c r="D13" s="4" t="inlineStr">
        <is>
          <t>V3</t>
        </is>
      </c>
      <c r="E13" s="4" t="inlineStr">
        <is>
          <t>Écartés</t>
        </is>
      </c>
      <c r="F13" s="4">
        <f>IFERROR(VLOOKUP($E13,Features!$A$2:$Q$74,6,FALSE),"")</f>
        <v/>
      </c>
      <c r="G13" s="17">
        <f>IFERROR(VLOOKUP($E13,Features!$A$2:$Q$74,15,FALSE),"")</f>
        <v/>
      </c>
    </row>
    <row r="14">
      <c r="A14" s="4" t="inlineStr">
        <is>
          <t>PLT-06</t>
        </is>
      </c>
      <c r="B14" s="4" t="inlineStr">
        <is>
          <t>Multi-clubs / multi-sites</t>
        </is>
      </c>
      <c r="C14" s="4" t="inlineStr">
        <is>
          <t>Consolidation multi-sites</t>
        </is>
      </c>
      <c r="D14" s="4" t="inlineStr">
        <is>
          <t>V3</t>
        </is>
      </c>
      <c r="E14" s="4" t="inlineStr">
        <is>
          <t>Écartés</t>
        </is>
      </c>
      <c r="F14" s="4">
        <f>IFERROR(VLOOKUP($E14,Features!$A$2:$Q$74,6,FALSE),"")</f>
        <v/>
      </c>
      <c r="G14" s="17">
        <f>IFERROR(VLOOKUP($E14,Features!$A$2:$Q$74,15,FALSE),"")</f>
        <v/>
      </c>
    </row>
    <row r="16">
      <c r="A16" s="9" t="inlineStr">
        <is>
          <t>Hors du plan de releases</t>
        </is>
      </c>
    </row>
  </sheetData>
  <autoFilter ref="A1:G14"/>
  <conditionalFormatting sqref="F2:F14">
    <cfRule type="cellIs" priority="1" operator="equal" dxfId="0">
      <formula>"Waiting"</formula>
    </cfRule>
    <cfRule type="cellIs" priority="2" operator="equal" dxfId="1">
      <formula>"Cadrage"</formula>
    </cfRule>
    <cfRule type="cellIs" priority="3" operator="equal" dxfId="2">
      <formula>"Dev"</formula>
    </cfRule>
    <cfRule type="cellIs" priority="4" operator="equal" dxfId="3">
      <formula>"In test"</formula>
    </cfRule>
    <cfRule type="cellIs" priority="5" operator="equal" dxfId="4">
      <formula>"Production"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2026-09-19T23:12:07Z</dcterms:created>
  <dcterms:modified xmlns:dcterms="http://purl.org/dc/terms/" xmlns:xsi="http://www.w3.org/2001/XMLSchema-instance" xsi:type="dcterms:W3CDTF">2026-09-19T23:12:07Z</dcterms:modified>
</cp:coreProperties>
</file>